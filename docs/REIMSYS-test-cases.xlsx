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ow to use" state="visible" r:id="rId4"/>
    <sheet sheetId="2" name="Use cases" state="visible" r:id="rId5"/>
    <sheet sheetId="3" name="Test cases" state="visible" r:id="rId6"/>
    <sheet sheetId="4" name="Summary" state="visible" r:id="rId7"/>
    <sheet sheetId="5" name="Accounts and rights" state="visible" r:id="rId8"/>
  </sheets>
  <calcPr calcId="171027"/>
</workbook>
</file>

<file path=xl/sharedStrings.xml><?xml version="1.0" encoding="utf-8"?>
<sst xmlns="http://schemas.openxmlformats.org/spreadsheetml/2006/main" count="1932" uniqueCount="697">
  <si>
    <t>REIMSYS: use cases and test cases</t>
  </si>
  <si>
    <t/>
  </si>
  <si>
    <t>Purpose</t>
  </si>
  <si>
    <t>A checklist for testing the reimbursement system end to end: what each kind of person does (use cases) and exactly how to check it (test cases). Written for the project team.</t>
  </si>
  <si>
    <t>Where to test</t>
  </si>
  <si>
    <t>On the STAGING server only, never on live data. Tests create receipts, payments and users.</t>
  </si>
  <si>
    <t>How to use it</t>
  </si>
  <si>
    <t>1. Pick a module in the Test cases sheet. 2. Sign in as the Role named in the row (accounts are on the "Accounts and rights" sheet). 3. Make sure the Preconditions are true. 4. Do the Steps in order. 5. Compare with the Expected result. 6. Fill in the YELLOW columns.</t>
  </si>
  <si>
    <t>Cells to fill in</t>
  </si>
  <si>
    <t>Test cases sheet, yellow columns only: Result (choose from the list), Tester, Date tested, Notes or defect. Everything else is fixed.</t>
  </si>
  <si>
    <t>Result values</t>
  </si>
  <si>
    <t>Pass: matches the expected result. Fail: does not match (write what happened in Notes). Blocked: could not be tried (say why). Not run: not tested yet (the starting value).</t>
  </si>
  <si>
    <t>Priority</t>
  </si>
  <si>
    <t>High: the system cannot be used or is unsafe if this fails. Medium: an important rule or screen. Low: convenience or appearance.</t>
  </si>
  <si>
    <t>Types</t>
  </si>
  <si>
    <t>Functional (it does its job), Validation (bad input is refused clearly), Permission (only the right people), Negative (things that must not work), Security, UI (looks and fits).</t>
  </si>
  <si>
    <t>Summary</t>
  </si>
  <si>
    <t>The Summary sheet counts the results with formulas. It updates by itself as you fill in the Result column.</t>
  </si>
  <si>
    <t>Example (how a finished row looks)</t>
  </si>
  <si>
    <t>TC-001 | Sign in | Result: Fail | Tester: Ana | Date: 2026-10-22 | Notes: "Dashboard opened but the name at the bottom of the menu was blank. Screenshot attached. Staging build 4313e91."</t>
  </si>
  <si>
    <t>ID</t>
  </si>
  <si>
    <t>Module</t>
  </si>
  <si>
    <t>Actor</t>
  </si>
  <si>
    <t>Goal</t>
  </si>
  <si>
    <t>Preconditions</t>
  </si>
  <si>
    <t>Main flow</t>
  </si>
  <si>
    <t>Alternatives and exceptions</t>
  </si>
  <si>
    <t>Result when done</t>
  </si>
  <si>
    <t>UC-01</t>
  </si>
  <si>
    <t>Access</t>
  </si>
  <si>
    <t>Any user</t>
  </si>
  <si>
    <t>Sign in and out safely</t>
  </si>
  <si>
    <t>The person has an account.</t>
  </si>
  <si>
    <t>1. Open the address. 2. Enter email and password. 3. Press Sign in. 4. A temporary password must be replaced. 5. Read and accept the privacy notice. 6. Land on the Dashboard.</t>
  </si>
  <si>
    <t>Wrong password (message, lockout after 5 tries for 15 minutes). Idle too long (signed out with a message). Forgot password (emailed link).</t>
  </si>
  <si>
    <t>The person is signed in with the rights of their role. Everything is recorded.</t>
  </si>
  <si>
    <t>UC-02</t>
  </si>
  <si>
    <t>Recover or change a password</t>
  </si>
  <si>
    <t>The person has an account and an email address.</t>
  </si>
  <si>
    <t>1. Press Forgot your password. 2. Enter the email. 3. Open the emailed link. 4. Choose a new password. Or: Profile &gt; Security &gt; change password.</t>
  </si>
  <si>
    <t>Unknown email (same answer, nothing revealed). Weak or reused password refused. Link used twice or expired.</t>
  </si>
  <si>
    <t>Old password stops working. Other devices are signed out.</t>
  </si>
  <si>
    <t>UC-03</t>
  </si>
  <si>
    <t>Receipts</t>
  </si>
  <si>
    <t>Med Ref</t>
  </si>
  <si>
    <t>Encode a receipt with proof</t>
  </si>
  <si>
    <t>Signed in as a Med Ref.</t>
  </si>
  <si>
    <t>1. New receipt. 2. Answer BIR yes/no. 3. Enter invoice details. 4. Give the reason for spending and the classification. 5. Attach a photo or PDF (or Scan receipt). 6. Review and Submit.</t>
  </si>
  <si>
    <t>Save as Draft. Missing or invalid answers are explained. Duplicate evidence is flagged. Scan outline is wrong: drag the corners.</t>
  </si>
  <si>
    <t>The receipt is Submitted (or Draft). The Checker is told.</t>
  </si>
  <si>
    <t>UC-04</t>
  </si>
  <si>
    <t>Fix a returned receipt</t>
  </si>
  <si>
    <t>A receipt of theirs is Returned.</t>
  </si>
  <si>
    <t>1. Open the receipt. 2. Read the ticked problems and the note. 3. Press Fix on a problem. 4. Correct the details or proof. 5. Submit again.</t>
  </si>
  <si>
    <t>Withdraw instead. Receipt changed by someone else meanwhile (stale edit refused).</t>
  </si>
  <si>
    <t>The receipt is Submitted again and checked from the start.</t>
  </si>
  <si>
    <t>UC-05</t>
  </si>
  <si>
    <t>Import many receipts</t>
  </si>
  <si>
    <t>Signed in as a Med Ref (or Super Admin) with import rights.</t>
  </si>
  <si>
    <t>1. Receipts &gt; Import. 2. Download the template. 3. Upload a CSV or XLSX. 4. Read the preview and error report. 5. Confirm.</t>
  </si>
  <si>
    <t>Rows with errors are listed and not saved. Wrong file type refused.</t>
  </si>
  <si>
    <t>Valid rows become Draft receipts.</t>
  </si>
  <si>
    <t>UC-06</t>
  </si>
  <si>
    <t>Review</t>
  </si>
  <si>
    <t>Checker</t>
  </si>
  <si>
    <t>Verify a receipt</t>
  </si>
  <si>
    <t>A receipt is Submitted and is not the Checker's own.</t>
  </si>
  <si>
    <t>1. Open the receipt. 2. Open the evidence (recorded). 3. Compare photo and details. 4. Mark checked, or Return with ticked problems and a note.</t>
  </si>
  <si>
    <t>Cannot check without opening the evidence. Cannot review own receipt. Question without sending back: Comments.</t>
  </si>
  <si>
    <t>Checked (to the Approver) or Returned (to the Med Ref).</t>
  </si>
  <si>
    <t>UC-07</t>
  </si>
  <si>
    <t>Check many receipts at once</t>
  </si>
  <si>
    <t>Several Submitted receipts whose evidence the Checker has opened.</t>
  </si>
  <si>
    <t>1. Tick receipts in the list (up to 25). 2. Use the bar: Mark checked. 3. Read the result.</t>
  </si>
  <si>
    <t>Receipts whose evidence was not opened are skipped and listed with the reason.</t>
  </si>
  <si>
    <t>The ready ones are Checked.</t>
  </si>
  <si>
    <t>UC-08</t>
  </si>
  <si>
    <t>Approver</t>
  </si>
  <si>
    <t>Decide on a checked receipt</t>
  </si>
  <si>
    <t>A receipt is Checked.</t>
  </si>
  <si>
    <t>1. Open the receipt and the evidence. 2. Approve, Disapprove (reason), Reserve (note), or Ask for more proof.</t>
  </si>
  <si>
    <t>Release a held receipt. Take back a decision within the undo window.</t>
  </si>
  <si>
    <t>Approved (document made, Accounting told), Disapproved (final), Reserved, or back to the Med Ref.</t>
  </si>
  <si>
    <t>UC-09</t>
  </si>
  <si>
    <t>Payment</t>
  </si>
  <si>
    <t>Accounting</t>
  </si>
  <si>
    <t>Pay approved receipts</t>
  </si>
  <si>
    <t>Approved receipts exist.</t>
  </si>
  <si>
    <t>1. Ready to pay. 2. Tick one person's receipts. 3. Mark as paid. 4. Choose method and date, attach proof. 5. Confirm.</t>
  </si>
  <si>
    <t>Shortfall needs a reason. Reverse a payment (reason). Export payments.</t>
  </si>
  <si>
    <t>Receipts are Paid and locked. The Med Ref is emailed.</t>
  </si>
  <si>
    <t>UC-10</t>
  </si>
  <si>
    <t>Reports</t>
  </si>
  <si>
    <t>Any with report right</t>
  </si>
  <si>
    <t>Produce a liquidation report</t>
  </si>
  <si>
    <t>Approved receipts exist in the period.</t>
  </si>
  <si>
    <t>1. Reports. 2. Choose dates, person, product/service, payment. 3. Choose PDF, XLSX or CSV. 4. Generate. 5. View, download or print.</t>
  </si>
  <si>
    <t>No records match (button disabled). Report of another person is private.</t>
  </si>
  <si>
    <t>A report with approved records only.</t>
  </si>
  <si>
    <t>UC-11</t>
  </si>
  <si>
    <t>Administration</t>
  </si>
  <si>
    <t>Super Admin</t>
  </si>
  <si>
    <t>Manage people and rights</t>
  </si>
  <si>
    <t>Signed in as a Super Admin.</t>
  </si>
  <si>
    <t>1. Access &gt; Users: add a person (role, temporary password, invitation). 2. Change a role, switch someone off, reset a password, unlock. 3. Roles and permissions: change what a role may do.</t>
  </si>
  <si>
    <t>Locked rights cannot be removed. The last active administrator cannot be switched off.</t>
  </si>
  <si>
    <t>Changes apply at once and are audited.</t>
  </si>
  <si>
    <t>UC-12</t>
  </si>
  <si>
    <t>Configure the system</t>
  </si>
  <si>
    <t>1. Access &gt; Settings (form rules, limits, reminders, sessions, privacy notice, keeping records). 2. Company. 3. Email account and full check. 4. Email templates.</t>
  </si>
  <si>
    <t>Invalid values refused with a message. Reset everything to default.</t>
  </si>
  <si>
    <t>Settings apply to everyone on their next action.</t>
  </si>
  <si>
    <t>UC-13</t>
  </si>
  <si>
    <t>Review what happened</t>
  </si>
  <si>
    <t>Activity exists.</t>
  </si>
  <si>
    <t>1. Audit log: search and filter, open an entry. 2. Export CSV. 3. Emails tab: see status, retry.</t>
  </si>
  <si>
    <t>Entries cannot be edited or deleted.</t>
  </si>
  <si>
    <t>A trustworthy record of who did what and when.</t>
  </si>
  <si>
    <t>UC-14</t>
  </si>
  <si>
    <t>Profile</t>
  </si>
  <si>
    <t>Keep own account up to date</t>
  </si>
  <si>
    <t>Signed in.</t>
  </si>
  <si>
    <t>1. Profile &gt; Details: name, phone, branch, photo. 2. Security: password and devices. 3. Notifications. 4. Appearance. 5. Activity.</t>
  </si>
  <si>
    <t>Photo too large (shrunk) or wrong type. Remove photo.</t>
  </si>
  <si>
    <t>Own settings saved; other devices signed out when the password changes.</t>
  </si>
  <si>
    <t>UC-15</t>
  </si>
  <si>
    <t>Notifications</t>
  </si>
  <si>
    <t>Be told when something happens</t>
  </si>
  <si>
    <t>Activity on the person's receipts or queue.</t>
  </si>
  <si>
    <t>1. Watch the bell and the dashboard. 2. Open a notice. 3. Receive emails and reminders.</t>
  </si>
  <si>
    <t>Example addresses are never emailed. Email failure is shown in the Email log.</t>
  </si>
  <si>
    <t>The person acts on what is waiting for them.</t>
  </si>
  <si>
    <t>UC-16</t>
  </si>
  <si>
    <t>Help</t>
  </si>
  <si>
    <t>Find out how to do something</t>
  </si>
  <si>
    <t>1. Press Help. 2. Read the basics and the guide for their role.</t>
  </si>
  <si>
    <t>The person sees only the guides for what they may do.</t>
  </si>
  <si>
    <t>UC-17</t>
  </si>
  <si>
    <t>Operations</t>
  </si>
  <si>
    <t>DevOps / Super Admin</t>
  </si>
  <si>
    <t>Run the system safely</t>
  </si>
  <si>
    <t>A deployed server.</t>
  </si>
  <si>
    <t>1. Preflight. 2. Nightly backup and an off-server copy. 3. Health check alerts. 4. Restore rehearsal. 5. Mail check.</t>
  </si>
  <si>
    <t>Backup older than 30 hours; mail port blocked; key missing.</t>
  </si>
  <si>
    <t>The system can be recovered and problems are noticed.</t>
  </si>
  <si>
    <t>Use case</t>
  </si>
  <si>
    <t>Role to sign in as</t>
  </si>
  <si>
    <t>Type</t>
  </si>
  <si>
    <t>Steps</t>
  </si>
  <si>
    <t>Expected result</t>
  </si>
  <si>
    <t>Result</t>
  </si>
  <si>
    <t>Tester</t>
  </si>
  <si>
    <t>Date tested</t>
  </si>
  <si>
    <t>Notes or defect</t>
  </si>
  <si>
    <t>TC-001</t>
  </si>
  <si>
    <t>Sign in</t>
  </si>
  <si>
    <t>Any signed-in user</t>
  </si>
  <si>
    <t>Functional</t>
  </si>
  <si>
    <t>High</t>
  </si>
  <si>
    <t>A normal active account.</t>
  </si>
  <si>
    <t xml:space="preserve">1. Open the address.
2. Enter the correct email and password.
3. Press Sign in.</t>
  </si>
  <si>
    <t>The Dashboard opens with the menu for that role. The name and role show at the bottom of the side menu.</t>
  </si>
  <si>
    <t>Not run</t>
  </si>
  <si>
    <t>TC-002</t>
  </si>
  <si>
    <t>Not signed in</t>
  </si>
  <si>
    <t>Negative</t>
  </si>
  <si>
    <t>None.</t>
  </si>
  <si>
    <t xml:space="preserve">1. Enter a correct email and a wrong password.
2. Press Sign in.</t>
  </si>
  <si>
    <t>A clear error is shown. The same message appears for an email that does not exist.</t>
  </si>
  <si>
    <t>TC-003</t>
  </si>
  <si>
    <t>Security</t>
  </si>
  <si>
    <t>A test account.</t>
  </si>
  <si>
    <t xml:space="preserve">1. Enter a wrong password five times in a row for the same account.
2. Then enter the correct password.</t>
  </si>
  <si>
    <t>The account is locked for 15 minutes and says so. An administrator can unlock it sooner (Access &gt; Users &gt; Manage).</t>
  </si>
  <si>
    <t>TC-004</t>
  </si>
  <si>
    <t>Medium</t>
  </si>
  <si>
    <t>1. Try more than 20 sign-ins in one minute from one computer.</t>
  </si>
  <si>
    <t>Further attempts are refused with "Too many attempts. Wait a minute".</t>
  </si>
  <si>
    <t>TC-005</t>
  </si>
  <si>
    <t>A new user with a temporary password.</t>
  </si>
  <si>
    <t>1. Sign in with the temporary password.</t>
  </si>
  <si>
    <t>Only "Choose a new password" is available. Every other screen and the API refuse until it is changed.</t>
  </si>
  <si>
    <t>TC-006</t>
  </si>
  <si>
    <t>A new user who has just chosen a password.</t>
  </si>
  <si>
    <t xml:space="preserve">1. Sign in and change the password.
2. Read the privacy notice, tick "I understand", press continue.</t>
  </si>
  <si>
    <t>The app opens. The acceptance is in the audit log with the notice version. Signing in again does not ask again.</t>
  </si>
  <si>
    <t>TC-007</t>
  </si>
  <si>
    <t xml:space="preserve">1. Leave the app untouched for longer than the idle limit (Access &gt; Settings &gt; Sessions).
2. Then click anywhere.</t>
  </si>
  <si>
    <t>The person is signed out and the sign-in page explains they were away. A session never lasts longer than the maximum even when busy.</t>
  </si>
  <si>
    <t>TC-008</t>
  </si>
  <si>
    <t>Low</t>
  </si>
  <si>
    <t>1. Press the sign-out icon in the top bar.</t>
  </si>
  <si>
    <t>The sign-in page opens. The Back button does not show private pages.</t>
  </si>
  <si>
    <t>TC-009</t>
  </si>
  <si>
    <t>1. Without signing in, open /receipts, /access and /audit directly.</t>
  </si>
  <si>
    <t>Each goes to the sign-in page. Nothing private shows.</t>
  </si>
  <si>
    <t>TC-010</t>
  </si>
  <si>
    <t>UI</t>
  </si>
  <si>
    <t>1. On the sign-in page press the eye in the password box.</t>
  </si>
  <si>
    <t>The password is shown, then hidden again on the next press.</t>
  </si>
  <si>
    <t>TC-011</t>
  </si>
  <si>
    <t>Password</t>
  </si>
  <si>
    <t>An active account with a real mailbox; email working.</t>
  </si>
  <si>
    <t xml:space="preserve">1. Press Forgot your password.
2. Enter the email.
3. Open the emailed link and choose a new password.</t>
  </si>
  <si>
    <t>The link opens a page to choose a password. After saving, the new password works and the old one does not.</t>
  </si>
  <si>
    <t>TC-012</t>
  </si>
  <si>
    <t>1. Ask for a reset for an email that has no account.</t>
  </si>
  <si>
    <t>The page answers exactly as for a real email. Nothing reveals whether the account exists.</t>
  </si>
  <si>
    <t>TC-013</t>
  </si>
  <si>
    <t>A used reset link.</t>
  </si>
  <si>
    <t>1. Open the same link a second time.</t>
  </si>
  <si>
    <t>The link is refused (used or expired).</t>
  </si>
  <si>
    <t>TC-014</t>
  </si>
  <si>
    <t>1. Ask for password reset links more than 6 times in 15 minutes.</t>
  </si>
  <si>
    <t>Further requests are slowed down with a message.</t>
  </si>
  <si>
    <t>TC-015</t>
  </si>
  <si>
    <t>Validation</t>
  </si>
  <si>
    <t xml:space="preserve">1. Profile &gt; Security &gt; change password.
2. Try: a wrong current password; the same password; a short or common password; a confirm that does not match.</t>
  </si>
  <si>
    <t>Each is refused with a clear message. Nothing changes.</t>
  </si>
  <si>
    <t>TC-016</t>
  </si>
  <si>
    <t>Signed in on two devices.</t>
  </si>
  <si>
    <t xml:space="preserve">1. On device A change the password.
2. Use device B.</t>
  </si>
  <si>
    <t>Device A stays signed in. Device B is signed out. Only the new password signs in.</t>
  </si>
  <si>
    <t>TC-017</t>
  </si>
  <si>
    <t>On any password form.</t>
  </si>
  <si>
    <t>1. Press the eye on each password box.</t>
  </si>
  <si>
    <t>Each box shows or hides its own text independently.</t>
  </si>
  <si>
    <t>TC-018</t>
  </si>
  <si>
    <t>Invitation</t>
  </si>
  <si>
    <t>Email working.</t>
  </si>
  <si>
    <t xml:space="preserve">1. Access &gt; Users &gt; Add user (a real address).
2. Open the invitation email as that person.</t>
  </si>
  <si>
    <t>The person receives an invitation with a button (on an https server) and the temporary password also works. They set their own password.</t>
  </si>
  <si>
    <t>TC-019</t>
  </si>
  <si>
    <t>Privacy notice</t>
  </si>
  <si>
    <t>1. On the sign-in page press Privacy notice.</t>
  </si>
  <si>
    <t>The notice opens without signing in, with the retention period and contact (or "To be confirmed"), the cookie sentence and the use rules.</t>
  </si>
  <si>
    <t>TC-020</t>
  </si>
  <si>
    <t>Signed in as Super Admin.</t>
  </si>
  <si>
    <t xml:space="preserve">1. Access &gt; Settings &gt; Privacy notice: type the retention period and the contact; Save.
2. Open the public notice.</t>
  </si>
  <si>
    <t>The notice shows exactly what was typed and no longer says "To be confirmed".</t>
  </si>
  <si>
    <t>TC-021</t>
  </si>
  <si>
    <t>Several users have accepted the notice.</t>
  </si>
  <si>
    <t xml:space="preserve">1. Raise the Notice version by 1 and Save.
2. Sign in as an ordinary user and try to open any screen.</t>
  </si>
  <si>
    <t>They see the notice again and are blocked until they accept. The new acceptance is in the audit log. The Users list shows who has accepted.</t>
  </si>
  <si>
    <t>TC-022</t>
  </si>
  <si>
    <t>Settings open.</t>
  </si>
  <si>
    <t>1. Type over 200 characters in the retention box, or over 300 in the contact box.</t>
  </si>
  <si>
    <t>The text is refused with a message.</t>
  </si>
  <si>
    <t>TC-023</t>
  </si>
  <si>
    <t>Receipt form</t>
  </si>
  <si>
    <t>Signed in as Med Ref.</t>
  </si>
  <si>
    <t xml:space="preserve">1. New receipt.
2. Choose No for BIR-registered invoice.
3. Enter date, vendor, address, amount, reason, classification.
4. Attach a clear JPG.
5. Press Submit.</t>
  </si>
  <si>
    <t>The short path is accepted. The receipt gets a reference number (RC-yyyy-nnnnnn) and is Submitted. The Checker is told.</t>
  </si>
  <si>
    <t>TC-024</t>
  </si>
  <si>
    <t xml:space="preserve">1. New receipt.
2. Choose Yes for BIR-registered invoice.
3. Complete invoice details, VAT and withholding (if asked), reason, classification.
4. Attach proof and Submit.</t>
  </si>
  <si>
    <t>Every step the answers need is shown. Steps that do not apply are skipped. The receipt is Submitted.</t>
  </si>
  <si>
    <t>TC-025</t>
  </si>
  <si>
    <t>On the form.</t>
  </si>
  <si>
    <t>1. Leave the required answers empty on each step and press Next.</t>
  </si>
  <si>
    <t>Each missing answer is named next to its box. The step does not advance.</t>
  </si>
  <si>
    <t>TC-026</t>
  </si>
  <si>
    <t>On the invoice details step.</t>
  </si>
  <si>
    <t>1. Enter a future date; a negative amount; an amount with more than 2 decimals; a VAT that does not match the vatable amount.</t>
  </si>
  <si>
    <t>Each is explained. Numbers that do not add up give a warning (or block, if the administrator turned blocking on).</t>
  </si>
  <si>
    <t>TC-027</t>
  </si>
  <si>
    <t>On the form with answers entered.</t>
  </si>
  <si>
    <t xml:space="preserve">1. Press Save draft.
2. Leave, then open the receipt from My receipts.</t>
  </si>
  <si>
    <t>The draft keeps every answer and can be continued and submitted.</t>
  </si>
  <si>
    <t>TC-028</t>
  </si>
  <si>
    <t xml:space="preserve">1. Press How to read the invoice.
2. Move between the tabs, zoom and close it.</t>
  </si>
  <si>
    <t>A sample invoice opens with each place to look marked, readable on a computer and a phone, and closes without losing the form.</t>
  </si>
  <si>
    <t>TC-029</t>
  </si>
  <si>
    <t>Evidence</t>
  </si>
  <si>
    <t>On the proof step.</t>
  </si>
  <si>
    <t>1. Upload a JPG, a PNG, a PDF and (if available) a HEIC.</t>
  </si>
  <si>
    <t>Each is accepted. The real file type is checked, not only its name.</t>
  </si>
  <si>
    <t>TC-030</t>
  </si>
  <si>
    <t xml:space="preserve">1. Rename a text or .exe file to .jpg and upload it.
2. Upload a file larger than the limit; upload more files than the limit.</t>
  </si>
  <si>
    <t>Fake or oversized files and extra files are refused with a clear message.</t>
  </si>
  <si>
    <t>TC-031</t>
  </si>
  <si>
    <t>An earlier receipt with a photo exists.</t>
  </si>
  <si>
    <t>1. Upload the same photo again on a new receipt.</t>
  </si>
  <si>
    <t>It is flagged as a possible duplicate (not silently accepted).</t>
  </si>
  <si>
    <t>TC-032</t>
  </si>
  <si>
    <t>Receipt with a photo.</t>
  </si>
  <si>
    <t xml:space="preserve">1. Press the eye (Preview) beside the file.
2. Use the wheel or pinch to zoom, drag to move, double-tap, Fit, then Close.</t>
  </si>
  <si>
    <t>The whole picture shows first (also a very tall one). It zooms in to read details, can be moved around, returns with Fit, and Escape closes it.</t>
  </si>
  <si>
    <t>TC-033</t>
  </si>
  <si>
    <t>Scan</t>
  </si>
  <si>
    <t>A phone or a computer with a camera; https for the live camera.</t>
  </si>
  <si>
    <t xml:space="preserve">1. Press Scan receipt.
2. Hold a receipt flat in good light; wait for the green outline and press the shutter.
3. Check the outline and the page preview, then Use scan.</t>
  </si>
  <si>
    <t>The outline follows the receipt. The page is cut out straight. Use scan adds it to the receipt as a JPEG. Done lists the pages.</t>
  </si>
  <si>
    <t>TC-034</t>
  </si>
  <si>
    <t>A photo of a receipt.</t>
  </si>
  <si>
    <t xml:space="preserve">1. Choose a photo file for scanning.
2. Drag each of the four corner dots to the receipt corners.
3. Switch Document, Original, Black &amp; white.</t>
  </si>
  <si>
    <t>All four dots can be reached, even for a tall photo. The saved-page preview follows each change. Black &amp; white shows only black and white.</t>
  </si>
  <si>
    <t>TC-035</t>
  </si>
  <si>
    <t>A white receipt on a light desk.</t>
  </si>
  <si>
    <t>1. Scan or choose a photo of it.</t>
  </si>
  <si>
    <t>The receipt is outlined when it is clearly lighter than the desk; otherwise the corners start on the whole photo and can be dragged.</t>
  </si>
  <si>
    <t>TC-036</t>
  </si>
  <si>
    <t>The scan editor is open.</t>
  </si>
  <si>
    <t>1. Look at the title, Cancel, Delete page and Save page buttons.</t>
  </si>
  <si>
    <t>All text is readable (nothing white on white), including when opened over the live camera screen.</t>
  </si>
  <si>
    <t>TC-037</t>
  </si>
  <si>
    <t>A phone.</t>
  </si>
  <si>
    <t>1. Open New receipt, go to Invoice details, look at the date box.</t>
  </si>
  <si>
    <t>The date box is as wide as the other boxes and stays inside the card; the page does not scroll sideways.</t>
  </si>
  <si>
    <t>TC-038</t>
  </si>
  <si>
    <t>A Submitted receipt that nobody has opened yet.</t>
  </si>
  <si>
    <t xml:space="preserve">1. Open it as its owner.
2. Press Withdraw.</t>
  </si>
  <si>
    <t>The receipt goes back to Draft and leaves the Checker's queue. It can be edited and submitted again.</t>
  </si>
  <si>
    <t>TC-039</t>
  </si>
  <si>
    <t>Permission</t>
  </si>
  <si>
    <t>Another Med Ref has a receipt.</t>
  </si>
  <si>
    <t>1. Sign in as a second Med Ref and open the other person's receipt by its address.</t>
  </si>
  <si>
    <t>It is refused. A Med Ref can only see their own receipts.</t>
  </si>
  <si>
    <t>TC-040</t>
  </si>
  <si>
    <t>A receipt that is Checked or later.</t>
  </si>
  <si>
    <t>1. Try to edit it.</t>
  </si>
  <si>
    <t>Editing is not offered (and the server refuses it). A paid receipt cannot be edited, withdrawn or deleted.</t>
  </si>
  <si>
    <t>TC-041</t>
  </si>
  <si>
    <t>The same receipt open in two windows.</t>
  </si>
  <si>
    <t xml:space="preserve">1. Edit and save in window A.
2. Edit and save in window B.</t>
  </si>
  <si>
    <t>Window B is told the receipt changed and does not overwrite it (stale edits are refused).</t>
  </si>
  <si>
    <t>TC-042</t>
  </si>
  <si>
    <t>Import</t>
  </si>
  <si>
    <t>The import template downloaded.</t>
  </si>
  <si>
    <t xml:space="preserve">1. Receipts &gt; Import.
2. Upload a CSV with two valid rows and one invalid row.
3. Read the preview; confirm.</t>
  </si>
  <si>
    <t>The preview lists each row and the error for the bad one. Only the valid rows are saved as Drafts. The bad row is not saved.</t>
  </si>
  <si>
    <t>TC-043</t>
  </si>
  <si>
    <t>On Import.</t>
  </si>
  <si>
    <t>1. Upload a PDF or a very large file instead of CSV/XLSX.</t>
  </si>
  <si>
    <t>It is refused with a clear message.</t>
  </si>
  <si>
    <t>TC-044</t>
  </si>
  <si>
    <t>Export</t>
  </si>
  <si>
    <t>Receipts exist.</t>
  </si>
  <si>
    <t xml:space="preserve">1. Receipts &gt; Export.
2. Open the file.</t>
  </si>
  <si>
    <t>The file contains the receipts the person may see, with invoice, VAT and withholding columns, and no category column.</t>
  </si>
  <si>
    <t>TC-045</t>
  </si>
  <si>
    <t>Receipt list</t>
  </si>
  <si>
    <t>Many receipts.</t>
  </si>
  <si>
    <t xml:space="preserve">1. Open Receipts.
2. Use the search box, the status buttons, the Product/Service filter, the dates and the sort.</t>
  </si>
  <si>
    <t>The list and the counts on the status buttons follow every filter. Clear filters returns to everything.</t>
  </si>
  <si>
    <t>TC-046</t>
  </si>
  <si>
    <t>Several pages of receipts.</t>
  </si>
  <si>
    <t xml:space="preserve">1. Note the footer ("N receipts · ₱total").
2. Go to the next page; apply a status filter.</t>
  </si>
  <si>
    <t>The footer total is the amount of ALL matching receipts (every page), and changes with the filters. It equals the sum of the rows over all pages.</t>
  </si>
  <si>
    <t>TC-047</t>
  </si>
  <si>
    <t>Two Med Refs have receipts.</t>
  </si>
  <si>
    <t>1. Sign in as each and open the list.</t>
  </si>
  <si>
    <t>Each sees only their own receipts and their own total.</t>
  </si>
  <si>
    <t>TC-048</t>
  </si>
  <si>
    <t xml:space="preserve">1. Open My receipts.
2. Press Filters.</t>
  </si>
  <si>
    <t>The search stays visible; the filters open and close behind a Filters button; status buttons scroll sideways in one row.</t>
  </si>
  <si>
    <t>TC-049</t>
  </si>
  <si>
    <t>A computer window at least 780 px tall.</t>
  </si>
  <si>
    <t>1. Scroll a long list.</t>
  </si>
  <si>
    <t>The page and menu stay still; only the rows scroll; column titles stay pinned; the footer stays at the bottom.</t>
  </si>
  <si>
    <t>TC-050</t>
  </si>
  <si>
    <t>Check</t>
  </si>
  <si>
    <t>A Submitted receipt from another person.</t>
  </si>
  <si>
    <t xml:space="preserve">1. Open the receipt: look at the Mark checked and Return buttons.
2. Press Open evidence.
3. Mark checked (add a remark).</t>
  </si>
  <si>
    <t>Before the evidence is opened the buttons are locked with an explanation. Opening it is recorded. After opening, Mark checked works and the receipt becomes Checked; the Approver is told.</t>
  </si>
  <si>
    <t>TC-051</t>
  </si>
  <si>
    <t>A Submitted receipt.</t>
  </si>
  <si>
    <t xml:space="preserve">1. Open the evidence.
2. Press Return.
3. Tick one or two problems (e.g. photo blurry, amount) and add a note.
4. Confirm.</t>
  </si>
  <si>
    <t>The receipt is Returned. The Med Ref gets a notice and an email that name the ticked problems and the note.</t>
  </si>
  <si>
    <t>TC-052</t>
  </si>
  <si>
    <t>The Return window is open.</t>
  </si>
  <si>
    <t xml:space="preserve">1. Tick nothing and leave the note empty.
2. Tick "Something else" with no note.</t>
  </si>
  <si>
    <t>Both are refused: a problem or words are required.</t>
  </si>
  <si>
    <t>TC-053</t>
  </si>
  <si>
    <t>A Returned receipt with ticked problems.</t>
  </si>
  <si>
    <t xml:space="preserve">1. Open the receipt as its owner.
2. Press Fix on a problem.
3. Correct it and Submit again.</t>
  </si>
  <si>
    <t>Fix opens the form on the right step. After submitting, the receipt is Submitted again and the ticked problems are cleared.</t>
  </si>
  <si>
    <t>TC-054</t>
  </si>
  <si>
    <t>The Checker has their own Submitted receipt (via another role).</t>
  </si>
  <si>
    <t>1. Try to check it.</t>
  </si>
  <si>
    <t>It is refused: reviewers cannot review their own receipts.</t>
  </si>
  <si>
    <t>TC-055</t>
  </si>
  <si>
    <t>A receipt open to the Checker.</t>
  </si>
  <si>
    <t xml:space="preserve">1. Write a comment without sending the receipt back.
2. Sign in as the Med Ref and read it.</t>
  </si>
  <si>
    <t>The comment appears on the receipt for both, with the author and time, and the other person gets a notice.</t>
  </si>
  <si>
    <t>TC-056</t>
  </si>
  <si>
    <t>Five Submitted receipts; evidence opened on three.</t>
  </si>
  <si>
    <t xml:space="preserve">1. Tick all five.
2. Mark checked from the bar.</t>
  </si>
  <si>
    <t>The three are Checked. The other two are skipped and listed with the reason. At most 25 can be selected.</t>
  </si>
  <si>
    <t>TC-057</t>
  </si>
  <si>
    <t>A receipt that has waited several days.</t>
  </si>
  <si>
    <t>1. Look at the queue.</t>
  </si>
  <si>
    <t>The waiting time shows (e.g. "6 days ago") and is highlighted when it passes the reminder limit.</t>
  </si>
  <si>
    <t>TC-058</t>
  </si>
  <si>
    <t>Decision</t>
  </si>
  <si>
    <t>A Checked receipt.</t>
  </si>
  <si>
    <t xml:space="preserve">1. Open it and open the evidence.
2. Press Approve.</t>
  </si>
  <si>
    <t>The receipt is Approved, a reimbursement document (REIM-yyyy-nnnnnn) is created and can be downloaded and printed, and the Med Ref and Accounting are told.</t>
  </si>
  <si>
    <t>TC-059</t>
  </si>
  <si>
    <t>1. Press Disapprove and give a reason; confirm.</t>
  </si>
  <si>
    <t>The receipt is Disapproved with the reason shown to the Med Ref. Disapproved is final.</t>
  </si>
  <si>
    <t>TC-060</t>
  </si>
  <si>
    <t>The Disapprove or Reserve window is open.</t>
  </si>
  <si>
    <t>1. Leave the reason or note empty and confirm.</t>
  </si>
  <si>
    <t>A reason (Disapprove) or a note (Reserve) is required.</t>
  </si>
  <si>
    <t>TC-061</t>
  </si>
  <si>
    <t xml:space="preserve">1. Press Reserve with a note.
2. Then Release to queue.</t>
  </si>
  <si>
    <t>It becomes Reserved (on hold) and the Med Ref is told; after Release it is back in the approval queue.</t>
  </si>
  <si>
    <t>TC-062</t>
  </si>
  <si>
    <t>1. Press Ask for more proof.</t>
  </si>
  <si>
    <t>The receipt goes back to the Med Ref, who can add proof and submit; it is then checked from the start.</t>
  </si>
  <si>
    <t>TC-063</t>
  </si>
  <si>
    <t>An Approved, unpaid receipt, within the undo time.</t>
  </si>
  <si>
    <t>1. Press Take back decision.</t>
  </si>
  <si>
    <t>It returns to Checked and the Med Ref is told to disregard the earlier approval. After the undo time (Access &gt; Settings) the button is gone.</t>
  </si>
  <si>
    <t>TC-064</t>
  </si>
  <si>
    <t>Several Checked receipts opened by the Approver.</t>
  </si>
  <si>
    <t>1. Tick them and Approve from the bar.</t>
  </si>
  <si>
    <t>The ready ones are Approved with their documents. Any not ready are skipped with a reason.</t>
  </si>
  <si>
    <t>TC-065</t>
  </si>
  <si>
    <t>A Submitted (not yet Checked) receipt.</t>
  </si>
  <si>
    <t>1. Open its address as the Approver.</t>
  </si>
  <si>
    <t>The Approver cannot see or decide it: only checked receipts reach them.</t>
  </si>
  <si>
    <t>TC-066</t>
  </si>
  <si>
    <t>1. Try to approve a receipt by address or from the API.</t>
  </si>
  <si>
    <t>It is refused (no review rights).</t>
  </si>
  <si>
    <t>TC-067</t>
  </si>
  <si>
    <t>Approved receipts for two people.</t>
  </si>
  <si>
    <t>1. Open Ready to pay.</t>
  </si>
  <si>
    <t>Receipts are grouped by person with the count and total; a header stays visible while scrolling; a footer shows people, receipts and total to pay.</t>
  </si>
  <si>
    <t>TC-068</t>
  </si>
  <si>
    <t>Approved receipts for one person.</t>
  </si>
  <si>
    <t xml:space="preserve">1. Tick their receipts (or Select all).
2. Press Mark as paid.
3. Choose a method, a date (today or earlier), attach a proof photo or PDF.
4. Confirm.</t>
  </si>
  <si>
    <t>A payment number (PAY-yyyy-nnnnnn) is created. The receipts become Paid, show the payment card and cannot be edited. The Med Ref is emailed.</t>
  </si>
  <si>
    <t>TC-069</t>
  </si>
  <si>
    <t>The payment window is open.</t>
  </si>
  <si>
    <t>1. Try: no proof; a future date; an amount above the receipt; a lower amount with no reason; receipts of two different people.</t>
  </si>
  <si>
    <t>Each is refused with a clear message. A shortfall needs a reason. One payment covers one person only (up to 25 receipts).</t>
  </si>
  <si>
    <t>TC-070</t>
  </si>
  <si>
    <t>A Paid receipt.</t>
  </si>
  <si>
    <t>1. Press Reverse payment and give a reason.</t>
  </si>
  <si>
    <t>The receipt returns to Approved, the Med Ref is told, and the original payment record stays (it is never deleted).</t>
  </si>
  <si>
    <t>TC-071</t>
  </si>
  <si>
    <t>Paid receipts in a period.</t>
  </si>
  <si>
    <t>1. Ready to pay &gt; Export payments, choose the dates, download.</t>
  </si>
  <si>
    <t>One row per paid receipt with the payment date, method and amounts.</t>
  </si>
  <si>
    <t>TC-072</t>
  </si>
  <si>
    <t>Signed in as Checker, Approver or Med Ref.</t>
  </si>
  <si>
    <t>1. Try to open Ready to pay or the payment actions.</t>
  </si>
  <si>
    <t>The screen is not offered and the server refuses.</t>
  </si>
  <si>
    <t>TC-073</t>
  </si>
  <si>
    <t>Default rights.</t>
  </si>
  <si>
    <t>1. Sign in as Super Admin and look for check, approve, pay and new receipt.</t>
  </si>
  <si>
    <t>None of them are available to the Super Admin by default, so one person cannot run the whole chain.</t>
  </si>
  <si>
    <t>TC-074</t>
  </si>
  <si>
    <t>Access &gt; Settings.</t>
  </si>
  <si>
    <t>1. Edit the payment methods list (add, rename, remove one) and Save.</t>
  </si>
  <si>
    <t>The methods are offered in the payment window. At most 12 methods; empty names refused.</t>
  </si>
  <si>
    <t>TC-075</t>
  </si>
  <si>
    <t>Approved receipts in the month.</t>
  </si>
  <si>
    <t xml:space="preserve">1. Reports.
2. Choose the dates.
3. Check the match count shown.
4. Generate PDF.</t>
  </si>
  <si>
    <t>The count and total match the Approved (and Paid) receipts in the range. The report opens in the viewer with totals, by-type breakdown and the record table.</t>
  </si>
  <si>
    <t>TC-076</t>
  </si>
  <si>
    <t>A report exists.</t>
  </si>
  <si>
    <t>1. Download the PDF, then generate an XLSX and a CSV for the same dates.</t>
  </si>
  <si>
    <t>All three open and carry the same records and totals.</t>
  </si>
  <si>
    <t>TC-077</t>
  </si>
  <si>
    <t>On Reports.</t>
  </si>
  <si>
    <t>1. Choose an end date before the start date; choose a range with no approved receipts.</t>
  </si>
  <si>
    <t>The first shows "Choose a valid date range"; the second disables Generate.</t>
  </si>
  <si>
    <t>TC-078</t>
  </si>
  <si>
    <t>Approved receipts for several people and types.</t>
  </si>
  <si>
    <t>1. Filter by Person, by Product/Service and by Payment (paid / not yet paid) and generate.</t>
  </si>
  <si>
    <t>Only matching records appear; pending, returned and disapproved receipts are never included.</t>
  </si>
  <si>
    <t>TC-079</t>
  </si>
  <si>
    <t>Two people made reports.</t>
  </si>
  <si>
    <t>1. Open the Past reports of each.</t>
  </si>
  <si>
    <t>A person sees only reports they made (an administrator may see more).</t>
  </si>
  <si>
    <t>TC-080</t>
  </si>
  <si>
    <t>A report with many rows.</t>
  </si>
  <si>
    <t>1. Open the report; scroll the table.</t>
  </si>
  <si>
    <t>Column titles, the first column and the Total row stay in view; the page does not scroll.</t>
  </si>
  <si>
    <t>TC-081</t>
  </si>
  <si>
    <t>Dashboard</t>
  </si>
  <si>
    <t>Receipts in every status.</t>
  </si>
  <si>
    <t>1. Open the Dashboard as each role.</t>
  </si>
  <si>
    <t>Each role sees its own tiles and queue (Checker: To check; Approver: To decide; Accounting: To pay; Med Ref: Needs your action; Super Admin: Waiting for review). The highlighted first tile is the queue.</t>
  </si>
  <si>
    <t>TC-082</t>
  </si>
  <si>
    <t>Receipts in several statuses.</t>
  </si>
  <si>
    <t>1. In the queue card press a status button (for example Approved).</t>
  </si>
  <si>
    <t>The Receipts list opens already filtered to that status.</t>
  </si>
  <si>
    <t>TC-083</t>
  </si>
  <si>
    <t>A computer.</t>
  </si>
  <si>
    <t>1. Open the Dashboard in a normal window.</t>
  </si>
  <si>
    <t>It fits the window: the queue and Recent activity scroll inside their cards; the greeting is one line.</t>
  </si>
  <si>
    <t>TC-084</t>
  </si>
  <si>
    <t>A Med Ref with a receipt in review.</t>
  </si>
  <si>
    <t xml:space="preserve">1. The Checker returns it.
2. Look at the bell as the Med Ref; press the notice.</t>
  </si>
  <si>
    <t>The bell count increases; the notice names the receipt and opens it.</t>
  </si>
  <si>
    <t>TC-085</t>
  </si>
  <si>
    <t>Email</t>
  </si>
  <si>
    <t>A working mail account and real mailbox addresses.</t>
  </si>
  <si>
    <t xml:space="preserve">1. Return, approve and pay a receipt in turn.
2. Check the Med Ref's inbox and Audit log &gt; Emails.</t>
  </si>
  <si>
    <t>One email arrives for each event with the right wording and a link button (https servers). Each shows status "sent" with the mail server's answer.</t>
  </si>
  <si>
    <t>TC-086</t>
  </si>
  <si>
    <t>Demo accounts on example.com.</t>
  </si>
  <si>
    <t>1. Cause an email to an @example.com address.</t>
  </si>
  <si>
    <t>Nothing is sent. The Email log shows "logged" with "Example address, not a real mailbox".</t>
  </si>
  <si>
    <t>TC-087</t>
  </si>
  <si>
    <t>Access &gt; Email.</t>
  </si>
  <si>
    <t xml:space="preserve">1. Enter the mail account.
2. Press Test connection, Save, then Send a test email to your own address.</t>
  </si>
  <si>
    <t>Test connection reports success without sending. The test email arrives and shows "sent".</t>
  </si>
  <si>
    <t>TC-088</t>
  </si>
  <si>
    <t>1. Press Run full check.</t>
  </si>
  <si>
    <t>Five steps are listed (account, password key, server name, ports, login) each with a tick or a cross and, for a failure, what to do. Nothing is sent. Running it is in the audit log.</t>
  </si>
  <si>
    <t>TC-089</t>
  </si>
  <si>
    <t>A failed email in the log.</t>
  </si>
  <si>
    <t>1. Audit log &gt; Emails &gt; Retry.</t>
  </si>
  <si>
    <t>It is queued again and its status updates.</t>
  </si>
  <si>
    <t>TC-090</t>
  </si>
  <si>
    <t>Receipts waiting several days.</t>
  </si>
  <si>
    <t>1. Access &gt; Settings &gt; press Send reminders now.</t>
  </si>
  <si>
    <t>The Checker, Approver, Accounting and Med Ref get reminders only for what is waiting longer than the days set; a receipt that has not waited long gets none.</t>
  </si>
  <si>
    <t>TC-091</t>
  </si>
  <si>
    <t>Access &gt; Email templates.</t>
  </si>
  <si>
    <t>1. Change the wording of one email and the logo/branding; send a sample.</t>
  </si>
  <si>
    <t>The change shows in the sample; unknown placeholders are refused.</t>
  </si>
  <si>
    <t>TC-092</t>
  </si>
  <si>
    <t xml:space="preserve">1. Access &gt; Users &gt; Add user (name, email, role).
2. Copy the temporary password.</t>
  </si>
  <si>
    <t>The user appears in the list as Invited. They can sign in with the temporary password and must choose their own.</t>
  </si>
  <si>
    <t>TC-093</t>
  </si>
  <si>
    <t>A user with receipts.</t>
  </si>
  <si>
    <t xml:space="preserve">1. Switch the user off.
2. Try to sign in as them.</t>
  </si>
  <si>
    <t>The user is signed out at once and cannot sign in; their receipts and history stay. They can be switched on again.</t>
  </si>
  <si>
    <t>TC-094</t>
  </si>
  <si>
    <t>A locked or forgotten account.</t>
  </si>
  <si>
    <t>1. Manage &gt; Reset password; Manage &gt; Unlock.</t>
  </si>
  <si>
    <t>A new temporary password is shown once and other sessions end; Unlock lets the person try again. Both are in the audit log.</t>
  </si>
  <si>
    <t>TC-095</t>
  </si>
  <si>
    <t>One active Super Admin only.</t>
  </si>
  <si>
    <t>1. Try to switch that person off or change their role.</t>
  </si>
  <si>
    <t>It is refused: there must always be an active administrator.</t>
  </si>
  <si>
    <t>TC-096</t>
  </si>
  <si>
    <t>Roles and permissions tab.</t>
  </si>
  <si>
    <t xml:space="preserve">1. Untick a right for a role (for example Import for Med Ref) and Save.
2. Sign in as that role.</t>
  </si>
  <si>
    <t>The change applies on their next action and is in the audit log. Locked rights (check, approve, pay, manage users/roles/settings) cannot be unticked.</t>
  </si>
  <si>
    <t>TC-097</t>
  </si>
  <si>
    <t>Roles tab.</t>
  </si>
  <si>
    <t>1. Add a new role with a rank and give it some rights.</t>
  </si>
  <si>
    <t>The role can be given to users and they see only what it allows (menu and Help guides follow the rights).</t>
  </si>
  <si>
    <t>TC-098</t>
  </si>
  <si>
    <t xml:space="preserve">1. Change a form rule (for example turn off "Accept receipts without a BIR invoice") and Save.
2. Open New receipt as a Med Ref.</t>
  </si>
  <si>
    <t>The "No" answer is no longer offered. Reset everything to default restores the starting values.</t>
  </si>
  <si>
    <t>TC-099</t>
  </si>
  <si>
    <t>1. Enter a value outside the allowed range (for example 0 for the undo time).</t>
  </si>
  <si>
    <t>The box shows an error; Save stays off.</t>
  </si>
  <si>
    <t>TC-100</t>
  </si>
  <si>
    <t>Access &gt; Company.</t>
  </si>
  <si>
    <t>1. Enter the company name and upload a logo.</t>
  </si>
  <si>
    <t>They appear on documents, reports and emails.</t>
  </si>
  <si>
    <t>TC-101</t>
  </si>
  <si>
    <t>1. Open /access and /audit by address.</t>
  </si>
  <si>
    <t>Both send the person back to the Dashboard.</t>
  </si>
  <si>
    <t>TC-102</t>
  </si>
  <si>
    <t>Access &gt; Settings (and any number box in the app).</t>
  </si>
  <si>
    <t xml:space="preserve">1. Click a number box (keeping period, VAT rate, mail port, an amount on the receipt form).
2. Type 1e+-2.5, or paste 1e5.</t>
  </si>
  <si>
    <t>Only digits are accepted ( and the decimal point where decimals make sense). The letters e/E and the signs + and - cannot be typed or pasted. Whole-number boxes ignore the point.</t>
  </si>
  <si>
    <t>TC-103</t>
  </si>
  <si>
    <t>The web app is newer than the API (for example the API was not restarted after an update).</t>
  </si>
  <si>
    <t xml:space="preserve">1. Open Access &gt; Settings.
2. Change a value.</t>
  </si>
  <si>
    <t>A red message says the page is newer than the server and lists the settings the server does not know. Those settings are hidden (no empty "Required" boxes), the other settings still change and save, and nothing is silently dropped. After the API is rebuilt and restarted the message is gone and every setting shows and saves.</t>
  </si>
  <si>
    <t>TC-104</t>
  </si>
  <si>
    <t>Audit log</t>
  </si>
  <si>
    <t>Some activity.</t>
  </si>
  <si>
    <t>1. Open the Audit log, search a person, filter by activity type and dates, open an entry.</t>
  </si>
  <si>
    <t>Entries show who, what, when and (where relevant) the old and new values. Filters work together.</t>
  </si>
  <si>
    <t>TC-105</t>
  </si>
  <si>
    <t>Audit log open.</t>
  </si>
  <si>
    <t>1. Press Export CSV.</t>
  </si>
  <si>
    <t>A CSV with the filtered entries downloads.</t>
  </si>
  <si>
    <t>TC-106</t>
  </si>
  <si>
    <t>Access to the database server.</t>
  </si>
  <si>
    <t>1. As the app's database login try to UPDATE or DELETE a row in the audit log.</t>
  </si>
  <si>
    <t>The database refuses. The app can only read and add entries.</t>
  </si>
  <si>
    <t>TC-107</t>
  </si>
  <si>
    <t>A Checker opens evidence.</t>
  </si>
  <si>
    <t xml:space="preserve">1. Open, download and print evidence as a Checker.
2. Look at the audit log as an administrator.</t>
  </si>
  <si>
    <t>Each view, download and print is recorded with the person and time.</t>
  </si>
  <si>
    <t>TC-108</t>
  </si>
  <si>
    <t>1. Profile &gt; Details: change name, phone, branch; Save.</t>
  </si>
  <si>
    <t>A message confirms; the new name shows in the side menu; a one-letter name is refused. The email cannot be changed here.</t>
  </si>
  <si>
    <t>TC-109</t>
  </si>
  <si>
    <t>Profile open.</t>
  </si>
  <si>
    <t>1. Press Add photo and choose a large phone photo (over 2 MB).</t>
  </si>
  <si>
    <t>The photo is cropped square and shrunk, then accepted; the side menu and top bar show it at once.</t>
  </si>
  <si>
    <t>TC-110</t>
  </si>
  <si>
    <t>A profile photo exists.</t>
  </si>
  <si>
    <t xml:space="preserve">1. Press Change photo with a different picture.
2. Press Remove photo.</t>
  </si>
  <si>
    <t>The new picture shows everywhere straight away. After Remove photo the initials come back and the button says Add photo; it is in the audit log.</t>
  </si>
  <si>
    <t>TC-111</t>
  </si>
  <si>
    <t xml:space="preserve">1. Profile &gt; Security: look at Where you are signed in.
2. Press Sign out beside the other device.</t>
  </si>
  <si>
    <t>This device is marked "This device". The other device is signed out.</t>
  </si>
  <si>
    <t>TC-112</t>
  </si>
  <si>
    <t>Profile &gt; Notifications.</t>
  </si>
  <si>
    <t>1. Turn the daily digest off and on.</t>
  </si>
  <si>
    <t>A message confirms each change. The required notices stay on.</t>
  </si>
  <si>
    <t>TC-113</t>
  </si>
  <si>
    <t>Profile &gt; Appearance.</t>
  </si>
  <si>
    <t>1. Choose Dark, Light, System.</t>
  </si>
  <si>
    <t>The whole app changes at once and the choice is kept after signing in again.</t>
  </si>
  <si>
    <t>TC-114</t>
  </si>
  <si>
    <t>Profile &gt; Activity.</t>
  </si>
  <si>
    <t>1. Open Activity.</t>
  </si>
  <si>
    <t>It lists your own recent actions only.</t>
  </si>
  <si>
    <t>TC-115</t>
  </si>
  <si>
    <t>Signed in as each role.</t>
  </si>
  <si>
    <t>1. Press the Help button in the top bar.</t>
  </si>
  <si>
    <t>The basics and "Your account" always show. Med Ref, Checker, Approver, Accounting and Super Admin each see only their own guide; the link bar matches.</t>
  </si>
  <si>
    <t>TC-116</t>
  </si>
  <si>
    <t>Keeping records</t>
  </si>
  <si>
    <t>Paid and disapproved receipts older than the period exist.</t>
  </si>
  <si>
    <t xml:space="preserve">1. Access &gt; Settings &gt; Keeping records: set 12 months and Save.
2. Press Preview now.
3. Press Download list (CSV).</t>
  </si>
  <si>
    <t>It lists by month the paid and disapproved receipts older than the period (not approved-but-unpaid ones), with their total and files. The CSV matches. Nothing is deleted or hidden.</t>
  </si>
  <si>
    <t>TC-117</t>
  </si>
  <si>
    <t>Keeping period set.</t>
  </si>
  <si>
    <t>1. As a Med Ref open the preview address.</t>
  </si>
  <si>
    <t>It is refused. Only administrators can see it. Each preview and download is in the audit log.</t>
  </si>
  <si>
    <t>TC-118</t>
  </si>
  <si>
    <t>Phone</t>
  </si>
  <si>
    <t>A phone (or a 390 px wide window).</t>
  </si>
  <si>
    <t>1. Sign in and use Dashboard, My receipts, New receipt, Reports from the bottom menu.</t>
  </si>
  <si>
    <t>Every screen fits the width with no sideways scrolling; buttons are easy to tap; the bottom menu stays in place.</t>
  </si>
  <si>
    <t>TC-119</t>
  </si>
  <si>
    <t>Display</t>
  </si>
  <si>
    <t>Dark appearance.</t>
  </si>
  <si>
    <t>1. Visit every screen of your role.</t>
  </si>
  <si>
    <t>Text is easy to read everywhere; nothing is hidden (white on white or black on black).</t>
  </si>
  <si>
    <t>TC-120</t>
  </si>
  <si>
    <t>1. Scroll any screen.</t>
  </si>
  <si>
    <t>The browser window itself never scrolls: the top bar and side menu stay put.</t>
  </si>
  <si>
    <t>TC-121</t>
  </si>
  <si>
    <t>A receipt with evidence.</t>
  </si>
  <si>
    <t>1. Copy the evidence file address and open it signed out, and as another Med Ref.</t>
  </si>
  <si>
    <t>Both are refused. Evidence is served only through the app to people allowed to see it.</t>
  </si>
  <si>
    <t>TC-122</t>
  </si>
  <si>
    <t>1. Check the address uses https and look at the cookie.</t>
  </si>
  <si>
    <t>Only one cookie is used; it is HttpOnly and Secure. No outside scripts or fonts load.</t>
  </si>
  <si>
    <t>TC-123</t>
  </si>
  <si>
    <t>A form with text boxes.</t>
  </si>
  <si>
    <t>1. Type &lt;script&gt;alert(1)&lt;/script&gt; as a vendor name and a comment; save and view.</t>
  </si>
  <si>
    <t>It shows as plain text and does not run.</t>
  </si>
  <si>
    <t>TC-124</t>
  </si>
  <si>
    <t>A signed-in session.</t>
  </si>
  <si>
    <t>1. From another website try to make the browser post a change to the app.</t>
  </si>
  <si>
    <t>The change is refused (cross-site requests are rejected).</t>
  </si>
  <si>
    <t>TC-125</t>
  </si>
  <si>
    <t>1. Run node scripts/preflight.mjs.</t>
  </si>
  <si>
    <t>No BLOCKER is listed: production mode, https address, a mail account, a real Super Admin, no demo accounts, and a recent backup.</t>
  </si>
  <si>
    <t>TC-126</t>
  </si>
  <si>
    <t>1. Run the backup. Then restore it into a spare database with node scripts/restore.mjs ... --db reimsys_restore_test.</t>
  </si>
  <si>
    <t>The backup holds the database and the files. The restored copy has the same number of receipts.</t>
  </si>
  <si>
    <t>TC-127</t>
  </si>
  <si>
    <t>1. Run node scripts/healthcheck.mjs while the API is running, then stop the API and run it again.</t>
  </si>
  <si>
    <t>It prints nothing when healthy, and names the problem (API not answering, low disk, old backup, stuck emails) when not.</t>
  </si>
  <si>
    <t>TC-128</t>
  </si>
  <si>
    <t>The server cannot send email.</t>
  </si>
  <si>
    <t>1. Run pnpm --filter @reimsys/api mail:check.</t>
  </si>
  <si>
    <t>It names the failing step (no account, unreadable password, name not found, port blocked, login refused) and what to do.</t>
  </si>
  <si>
    <t>Results by module</t>
  </si>
  <si>
    <t>Total</t>
  </si>
  <si>
    <t>Pass</t>
  </si>
  <si>
    <t>Fail</t>
  </si>
  <si>
    <t>Blocked</t>
  </si>
  <si>
    <t>% passed</t>
  </si>
  <si>
    <t>All modules</t>
  </si>
  <si>
    <t>Results by priority</t>
  </si>
  <si>
    <t>Release rule suggested: every High test case Pass, and no Fail on any priority, before going live.</t>
  </si>
  <si>
    <t>Role</t>
  </si>
  <si>
    <t>Demo account (development / staging only)</t>
  </si>
  <si>
    <t>Can do</t>
  </si>
  <si>
    <t>Cannot do</t>
  </si>
  <si>
    <t>ana.reyes@example.com  /  mark.dc@example.com</t>
  </si>
  <si>
    <t>Reimsys#2026</t>
  </si>
  <si>
    <t>Create, edit, withdraw and submit their own receipts; attach proof and scan; fix returned receipts; import; see own receipts and reports they made; profile and help.</t>
  </si>
  <si>
    <t>See other people's receipts; check, approve or pay; open Access or the Audit log.</t>
  </si>
  <si>
    <t>liza.santos@example.com</t>
  </si>
  <si>
    <t>See all non-draft receipts; open evidence (recorded); Mark checked or Return with ticked problems; comment; bulk check; reports.</t>
  </si>
  <si>
    <t>Check their own receipt; check before opening the evidence; approve; pay; Access; Audit log.</t>
  </si>
  <si>
    <t>paolo.v@example.com</t>
  </si>
  <si>
    <t>See Checked receipts; Approve, Disapprove (reason), Reserve and Release, Ask for more proof, Take back a decision; bulk approve; reports.</t>
  </si>
  <si>
    <t>See receipts that are not Checked yet; pay; Access; Audit log.</t>
  </si>
  <si>
    <t>accounting@example.com</t>
  </si>
  <si>
    <t>Ready to pay; Mark as paid with proof; Reverse payment; Export payments; reports with payment columns.</t>
  </si>
  <si>
    <t>Check or approve; Access; Audit log.</t>
  </si>
  <si>
    <t>admin@example.com</t>
  </si>
  <si>
    <t>Users, roles and permissions, settings, company, email, templates; Audit log and Email log; view all receipts; import; reports; keeping-records preview.</t>
  </si>
  <si>
    <t>Check, approve, pay or create receipts (removed by default so one person cannot do the whole chain).</t>
  </si>
  <si>
    <t>Note: the demo accounts and their shared password exist only on development and staging. They must not exist on the live system (a real Super Admin is created with admin:create). Use real test accounts there.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</si>
</sst>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9" x14ac:knownFonts="1">
    <font>
      <color theme="1"/>
      <family val="2"/>
      <scheme val="minor"/>
      <sz val="11"/>
      <name val="Calibri"/>
    </font>
    <font>
      <b/>
      <color rgb="FF0C7480"/>
      <sz val="16"/>
      <name val="Arial"/>
    </font>
    <font>
      <sz val="10"/>
      <name val="Arial"/>
    </font>
    <font>
      <b/>
      <sz val="10"/>
      <name val="Arial"/>
    </font>
    <font>
      <b/>
      <color rgb="FFFFFFFF"/>
      <sz val="10"/>
      <name val="Arial"/>
    </font>
    <font>
      <b/>
      <color rgb="FFB5352E"/>
      <sz val="10"/>
      <name val="Arial"/>
    </font>
    <font>
      <color rgb="FF12232B"/>
      <sz val="10"/>
      <name val="Arial"/>
    </font>
    <font>
      <b/>
      <color rgb="FF0C7480"/>
      <sz val="14"/>
      <name val="Arial"/>
    </font>
    <font>
      <i/>
      <sz val="10"/>
      <name val="Arial"/>
    </font>
  </fonts>
  <fills count="5">
    <fill>
      <patternFill patternType="none"/>
    </fill>
    <fill>
      <patternFill patternType="gray125"/>
    </fill>
    <fill>
      <patternFill patternType="solid">
        <fgColor rgb="FFFFF8D6"/>
      </patternFill>
    </fill>
    <fill>
      <patternFill patternType="solid">
        <fgColor rgb="FF0C7480"/>
      </patternFill>
    </fill>
    <fill>
      <patternFill patternType="solid">
        <fgColor rgb="FF7A5C00"/>
      </patternFill>
    </fill>
  </fills>
  <borders count="4">
    <border>
      <left/>
      <right/>
      <top/>
      <bottom/>
      <diagonal/>
    </border>
    <border>
      <left/>
      <right/>
      <top/>
      <bottom style="thin">
        <color rgb="FF084F57"/>
      </bottom>
      <diagonal/>
    </border>
    <border>
      <left/>
      <right/>
      <top/>
      <bottom style="hair">
        <color rgb="FFC9D4D6"/>
      </bottom>
      <diagonal/>
    </border>
    <border>
      <left/>
      <right/>
      <top style="thin">
        <color rgb="FF12232B"/>
      </top>
      <bottom/>
      <diagonal/>
    </border>
  </borders>
  <cellStyleXfs count="1">
    <xf numFmtId="0" fontId="0" fillId="0" borderId="0"/>
  </cellStyleXfs>
  <cellXfs count="2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3" fillId="2" borderId="0" xfId="0" applyFont="1" applyFill="1" applyAlignment="1">
      <alignment vertical="top" wrapText="1"/>
    </xf>
    <xf numFmtId="0" fontId="2" fillId="2" borderId="0" xfId="0" applyFont="1" applyFill="1" applyAlignment="1">
      <alignment vertical="top" wrapText="1"/>
    </xf>
    <xf numFmtId="0" fontId="4" fillId="0" borderId="0" xfId="0" applyFont="1" applyAlignment="1">
      <alignment vertical="center" wrapText="1"/>
    </xf>
    <xf numFmtId="0" fontId="4" fillId="3" borderId="1" xfId="0" applyFont="1" applyFill="1" applyBorder="1" applyAlignment="1">
      <alignment vertical="center" wrapText="1"/>
    </xf>
    <xf numFmtId="0" fontId="2" fillId="0" borderId="2" xfId="0" applyFont="1" applyBorder="1" applyAlignment="1">
      <alignment vertical="top" wrapText="1"/>
    </xf>
    <xf numFmtId="0" fontId="4" fillId="4" borderId="1" xfId="0" applyFont="1" applyFill="1" applyBorder="1" applyAlignment="1">
      <alignment vertical="center" wrapText="1"/>
    </xf>
    <xf numFmtId="0" fontId="5" fillId="0" borderId="2" xfId="0" applyFont="1" applyBorder="1" applyAlignment="1">
      <alignment vertical="top" wrapText="1"/>
    </xf>
    <xf numFmtId="0" fontId="2" fillId="2" borderId="2" xfId="0" applyFont="1" applyFill="1" applyBorder="1" applyAlignment="1">
      <alignment vertical="top" wrapText="1"/>
    </xf>
    <xf numFmtId="164" fontId="2" fillId="2" borderId="2" xfId="0" applyNumberFormat="1" applyFont="1" applyFill="1" applyBorder="1" applyAlignment="1">
      <alignment vertical="top" wrapText="1"/>
    </xf>
    <xf numFmtId="0" fontId="6" fillId="0" borderId="2" xfId="0" applyFont="1" applyBorder="1" applyAlignment="1">
      <alignment vertical="top" wrapText="1"/>
    </xf>
    <xf numFmtId="0" fontId="7" fillId="0" borderId="0" xfId="0" applyFont="1"/>
    <xf numFmtId="0" fontId="2" fillId="0" borderId="2" xfId="0" applyFont="1" applyBorder="1" applyAlignment="1">
      <alignment horizontal="center"/>
    </xf>
    <xf numFmtId="9" fontId="2" fillId="0" borderId="2" xfId="0" applyNumberFormat="1" applyFont="1" applyBorder="1" applyAlignment="1">
      <alignment horizontal="center"/>
    </xf>
    <xf numFmtId="0" fontId="3" fillId="0" borderId="3" xfId="0" applyFont="1" applyBorder="1" applyAlignment="1">
      <alignment vertical="top" wrapText="1"/>
    </xf>
    <xf numFmtId="0" fontId="3" fillId="0" borderId="3" xfId="0" applyFont="1" applyBorder="1" applyAlignment="1">
      <alignment horizontal="center"/>
    </xf>
    <xf numFmtId="9" fontId="3" fillId="0" borderId="3" xfId="0" applyNumberFormat="1" applyFont="1" applyBorder="1" applyAlignment="1">
      <alignment horizontal="center"/>
    </xf>
    <xf numFmtId="0" fontId="2" fillId="0" borderId="0" xfId="0" applyFont="1"/>
    <xf numFmtId="0" fontId="2" fillId="0" borderId="0" xfId="0" applyFont="1" applyAlignment="1">
      <alignment horizontal="center"/>
    </xf>
    <xf numFmtId="9" fontId="2" fillId="0" borderId="0" xfId="0" applyNumberFormat="1" applyFont="1" applyAlignment="1">
      <alignment horizontal="center"/>
    </xf>
    <xf numFmtId="0" fontId="8" fillId="0" borderId="0" xfId="0" applyFont="1"/>
  </cellXfs>
  <cellStyles count="1">
    <cellStyle name="Normal" xfId="0" builtinId="0"/>
  </cellStyles>
  <dxfs count="3">
    <dxf>
      <font>
        <b/>
        <color rgb="FF1B7B4A"/>
      </font>
      <fill>
        <patternFill patternType="solid">
          <bgColor rgb="FFDFF3E7"/>
        </patternFill>
      </fill>
    </dxf>
    <dxf>
      <font>
        <b/>
        <color rgb="FFB5352E"/>
      </font>
      <fill>
        <patternFill patternType="solid">
          <bgColor rgb="FFFBE6E4"/>
        </patternFill>
      </fill>
    </dxf>
    <dxf>
      <font>
        <b/>
        <color rgb="FF8A5A00"/>
      </font>
      <fill>
        <patternFill patternType="solid">
          <bgColor rgb="FFFBF0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howGridLines="0"/>
  </sheetViews>
  <sheetFormatPr defaultRowHeight="15" outlineLevelRow="0" outlineLevelCol="0" x14ac:dyDescent="55"/>
  <cols>
    <col min="1" max="1" width="28" customWidth="1"/>
    <col min="2" max="2" width="100" customWidth="1"/>
  </cols>
  <sheetData>
    <row r="1" ht="30" customHeight="1" spans="1:2" s="1" customFormat="1" x14ac:dyDescent="0.25">
      <c r="A1" s="1" t="s">
        <v>0</v>
      </c>
      <c r="B1" s="1" t="s">
        <v>1</v>
      </c>
    </row>
    <row r="2" spans="1:2" s="2" customFormat="1" x14ac:dyDescent="0.25">
      <c r="A2" s="3" t="s">
        <v>2</v>
      </c>
      <c r="B2" s="2" t="s">
        <v>3</v>
      </c>
    </row>
    <row r="3" spans="1:2" s="2" customFormat="1" x14ac:dyDescent="0.25">
      <c r="A3" s="3" t="s">
        <v>4</v>
      </c>
      <c r="B3" s="2" t="s">
        <v>5</v>
      </c>
    </row>
    <row r="4" spans="1:2" s="2" customFormat="1" x14ac:dyDescent="0.25">
      <c r="A4" s="3" t="s">
        <v>6</v>
      </c>
      <c r="B4" s="2" t="s">
        <v>7</v>
      </c>
    </row>
    <row r="5" spans="1:2" s="2" customFormat="1" x14ac:dyDescent="0.25">
      <c r="A5" s="3" t="s">
        <v>8</v>
      </c>
      <c r="B5" s="2" t="s">
        <v>9</v>
      </c>
    </row>
    <row r="6" spans="1:2" s="2" customFormat="1" x14ac:dyDescent="0.25">
      <c r="A6" s="3" t="s">
        <v>10</v>
      </c>
      <c r="B6" s="2" t="s">
        <v>11</v>
      </c>
    </row>
    <row r="7" spans="1:2" s="2" customFormat="1" x14ac:dyDescent="0.25">
      <c r="A7" s="3" t="s">
        <v>12</v>
      </c>
      <c r="B7" s="2" t="s">
        <v>13</v>
      </c>
    </row>
    <row r="8" spans="1:2" s="2" customFormat="1" x14ac:dyDescent="0.25">
      <c r="A8" s="3" t="s">
        <v>14</v>
      </c>
      <c r="B8" s="2" t="s">
        <v>15</v>
      </c>
    </row>
    <row r="9" spans="1:2" s="2" customFormat="1" x14ac:dyDescent="0.25">
      <c r="A9" s="3" t="s">
        <v>16</v>
      </c>
      <c r="B9" s="2" t="s">
        <v>17</v>
      </c>
    </row>
    <row r="10" spans="1:2" s="2" customFormat="1" x14ac:dyDescent="0.25">
      <c r="A10" s="4" t="s">
        <v>18</v>
      </c>
      <c r="B10" s="5"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Views>
    <sheetView workbookViewId="0">
      <pane xSplit="1" ySplit="1" topLeftCell="B2" activePane="bottomRight" state="frozen"/>
      <selection pane="bottomRight"/>
    </sheetView>
  </sheetViews>
  <sheetFormatPr defaultRowHeight="15" outlineLevelRow="0" outlineLevelCol="0" x14ac:dyDescent="55"/>
  <cols>
    <col min="1" max="1" width="8" customWidth="1"/>
    <col min="2" max="2" width="16" customWidth="1"/>
    <col min="3" max="3" width="20" customWidth="1"/>
    <col min="4" max="4" width="30" customWidth="1"/>
    <col min="5" max="5" width="32" customWidth="1"/>
    <col min="6" max="6" width="70" customWidth="1"/>
    <col min="7" max="7" width="48" customWidth="1"/>
    <col min="8" max="8" width="40" customWidth="1"/>
  </cols>
  <sheetData>
    <row r="1" ht="26" customHeight="1" spans="1:8" s="6" customFormat="1" x14ac:dyDescent="0.25">
      <c r="A1" s="7" t="s">
        <v>20</v>
      </c>
      <c r="B1" s="7" t="s">
        <v>21</v>
      </c>
      <c r="C1" s="7" t="s">
        <v>22</v>
      </c>
      <c r="D1" s="7" t="s">
        <v>23</v>
      </c>
      <c r="E1" s="7" t="s">
        <v>24</v>
      </c>
      <c r="F1" s="7" t="s">
        <v>25</v>
      </c>
      <c r="G1" s="7" t="s">
        <v>26</v>
      </c>
      <c r="H1" s="7" t="s">
        <v>27</v>
      </c>
    </row>
    <row r="2" spans="1:8" s="2" customFormat="1" x14ac:dyDescent="0.25">
      <c r="A2" s="8" t="s">
        <v>28</v>
      </c>
      <c r="B2" s="8" t="s">
        <v>29</v>
      </c>
      <c r="C2" s="8" t="s">
        <v>30</v>
      </c>
      <c r="D2" s="8" t="s">
        <v>31</v>
      </c>
      <c r="E2" s="8" t="s">
        <v>32</v>
      </c>
      <c r="F2" s="8" t="s">
        <v>33</v>
      </c>
      <c r="G2" s="8" t="s">
        <v>34</v>
      </c>
      <c r="H2" s="8" t="s">
        <v>35</v>
      </c>
    </row>
    <row r="3" spans="1:8" s="2" customFormat="1" x14ac:dyDescent="0.25">
      <c r="A3" s="8" t="s">
        <v>36</v>
      </c>
      <c r="B3" s="8" t="s">
        <v>29</v>
      </c>
      <c r="C3" s="8" t="s">
        <v>30</v>
      </c>
      <c r="D3" s="8" t="s">
        <v>37</v>
      </c>
      <c r="E3" s="8" t="s">
        <v>38</v>
      </c>
      <c r="F3" s="8" t="s">
        <v>39</v>
      </c>
      <c r="G3" s="8" t="s">
        <v>40</v>
      </c>
      <c r="H3" s="8" t="s">
        <v>41</v>
      </c>
    </row>
    <row r="4" spans="1:8" s="2" customFormat="1" x14ac:dyDescent="0.25">
      <c r="A4" s="8" t="s">
        <v>42</v>
      </c>
      <c r="B4" s="8" t="s">
        <v>43</v>
      </c>
      <c r="C4" s="8" t="s">
        <v>44</v>
      </c>
      <c r="D4" s="8" t="s">
        <v>45</v>
      </c>
      <c r="E4" s="8" t="s">
        <v>46</v>
      </c>
      <c r="F4" s="8" t="s">
        <v>47</v>
      </c>
      <c r="G4" s="8" t="s">
        <v>48</v>
      </c>
      <c r="H4" s="8" t="s">
        <v>49</v>
      </c>
    </row>
    <row r="5" spans="1:8" s="2" customFormat="1" x14ac:dyDescent="0.25">
      <c r="A5" s="8" t="s">
        <v>50</v>
      </c>
      <c r="B5" s="8" t="s">
        <v>43</v>
      </c>
      <c r="C5" s="8" t="s">
        <v>44</v>
      </c>
      <c r="D5" s="8" t="s">
        <v>51</v>
      </c>
      <c r="E5" s="8" t="s">
        <v>52</v>
      </c>
      <c r="F5" s="8" t="s">
        <v>53</v>
      </c>
      <c r="G5" s="8" t="s">
        <v>54</v>
      </c>
      <c r="H5" s="8" t="s">
        <v>55</v>
      </c>
    </row>
    <row r="6" spans="1:8" s="2" customFormat="1" x14ac:dyDescent="0.25">
      <c r="A6" s="8" t="s">
        <v>56</v>
      </c>
      <c r="B6" s="8" t="s">
        <v>43</v>
      </c>
      <c r="C6" s="8" t="s">
        <v>44</v>
      </c>
      <c r="D6" s="8" t="s">
        <v>57</v>
      </c>
      <c r="E6" s="8" t="s">
        <v>58</v>
      </c>
      <c r="F6" s="8" t="s">
        <v>59</v>
      </c>
      <c r="G6" s="8" t="s">
        <v>60</v>
      </c>
      <c r="H6" s="8" t="s">
        <v>61</v>
      </c>
    </row>
    <row r="7" spans="1:8" s="2" customFormat="1" x14ac:dyDescent="0.25">
      <c r="A7" s="8" t="s">
        <v>62</v>
      </c>
      <c r="B7" s="8" t="s">
        <v>63</v>
      </c>
      <c r="C7" s="8" t="s">
        <v>64</v>
      </c>
      <c r="D7" s="8" t="s">
        <v>65</v>
      </c>
      <c r="E7" s="8" t="s">
        <v>66</v>
      </c>
      <c r="F7" s="8" t="s">
        <v>67</v>
      </c>
      <c r="G7" s="8" t="s">
        <v>68</v>
      </c>
      <c r="H7" s="8" t="s">
        <v>69</v>
      </c>
    </row>
    <row r="8" spans="1:8" s="2" customFormat="1" x14ac:dyDescent="0.25">
      <c r="A8" s="8" t="s">
        <v>70</v>
      </c>
      <c r="B8" s="8" t="s">
        <v>63</v>
      </c>
      <c r="C8" s="8" t="s">
        <v>64</v>
      </c>
      <c r="D8" s="8" t="s">
        <v>71</v>
      </c>
      <c r="E8" s="8" t="s">
        <v>72</v>
      </c>
      <c r="F8" s="8" t="s">
        <v>73</v>
      </c>
      <c r="G8" s="8" t="s">
        <v>74</v>
      </c>
      <c r="H8" s="8" t="s">
        <v>75</v>
      </c>
    </row>
    <row r="9" spans="1:8" s="2" customFormat="1" x14ac:dyDescent="0.25">
      <c r="A9" s="8" t="s">
        <v>76</v>
      </c>
      <c r="B9" s="8" t="s">
        <v>63</v>
      </c>
      <c r="C9" s="8" t="s">
        <v>77</v>
      </c>
      <c r="D9" s="8" t="s">
        <v>78</v>
      </c>
      <c r="E9" s="8" t="s">
        <v>79</v>
      </c>
      <c r="F9" s="8" t="s">
        <v>80</v>
      </c>
      <c r="G9" s="8" t="s">
        <v>81</v>
      </c>
      <c r="H9" s="8" t="s">
        <v>82</v>
      </c>
    </row>
    <row r="10" spans="1:8" s="2" customFormat="1" x14ac:dyDescent="0.25">
      <c r="A10" s="8" t="s">
        <v>83</v>
      </c>
      <c r="B10" s="8" t="s">
        <v>84</v>
      </c>
      <c r="C10" s="8" t="s">
        <v>85</v>
      </c>
      <c r="D10" s="8" t="s">
        <v>86</v>
      </c>
      <c r="E10" s="8" t="s">
        <v>87</v>
      </c>
      <c r="F10" s="8" t="s">
        <v>88</v>
      </c>
      <c r="G10" s="8" t="s">
        <v>89</v>
      </c>
      <c r="H10" s="8" t="s">
        <v>90</v>
      </c>
    </row>
    <row r="11" spans="1:8" s="2" customFormat="1" x14ac:dyDescent="0.25">
      <c r="A11" s="8" t="s">
        <v>91</v>
      </c>
      <c r="B11" s="8" t="s">
        <v>92</v>
      </c>
      <c r="C11" s="8" t="s">
        <v>93</v>
      </c>
      <c r="D11" s="8" t="s">
        <v>94</v>
      </c>
      <c r="E11" s="8" t="s">
        <v>95</v>
      </c>
      <c r="F11" s="8" t="s">
        <v>96</v>
      </c>
      <c r="G11" s="8" t="s">
        <v>97</v>
      </c>
      <c r="H11" s="8" t="s">
        <v>98</v>
      </c>
    </row>
    <row r="12" spans="1:8" s="2" customFormat="1" x14ac:dyDescent="0.25">
      <c r="A12" s="8" t="s">
        <v>99</v>
      </c>
      <c r="B12" s="8" t="s">
        <v>100</v>
      </c>
      <c r="C12" s="8" t="s">
        <v>101</v>
      </c>
      <c r="D12" s="8" t="s">
        <v>102</v>
      </c>
      <c r="E12" s="8" t="s">
        <v>103</v>
      </c>
      <c r="F12" s="8" t="s">
        <v>104</v>
      </c>
      <c r="G12" s="8" t="s">
        <v>105</v>
      </c>
      <c r="H12" s="8" t="s">
        <v>106</v>
      </c>
    </row>
    <row r="13" spans="1:8" s="2" customFormat="1" x14ac:dyDescent="0.25">
      <c r="A13" s="8" t="s">
        <v>107</v>
      </c>
      <c r="B13" s="8" t="s">
        <v>100</v>
      </c>
      <c r="C13" s="8" t="s">
        <v>101</v>
      </c>
      <c r="D13" s="8" t="s">
        <v>108</v>
      </c>
      <c r="E13" s="8" t="s">
        <v>103</v>
      </c>
      <c r="F13" s="8" t="s">
        <v>109</v>
      </c>
      <c r="G13" s="8" t="s">
        <v>110</v>
      </c>
      <c r="H13" s="8" t="s">
        <v>111</v>
      </c>
    </row>
    <row r="14" spans="1:8" s="2" customFormat="1" x14ac:dyDescent="0.25">
      <c r="A14" s="8" t="s">
        <v>112</v>
      </c>
      <c r="B14" s="8" t="s">
        <v>100</v>
      </c>
      <c r="C14" s="8" t="s">
        <v>101</v>
      </c>
      <c r="D14" s="8" t="s">
        <v>113</v>
      </c>
      <c r="E14" s="8" t="s">
        <v>114</v>
      </c>
      <c r="F14" s="8" t="s">
        <v>115</v>
      </c>
      <c r="G14" s="8" t="s">
        <v>116</v>
      </c>
      <c r="H14" s="8" t="s">
        <v>117</v>
      </c>
    </row>
    <row r="15" spans="1:8" s="2" customFormat="1" x14ac:dyDescent="0.25">
      <c r="A15" s="8" t="s">
        <v>118</v>
      </c>
      <c r="B15" s="8" t="s">
        <v>119</v>
      </c>
      <c r="C15" s="8" t="s">
        <v>30</v>
      </c>
      <c r="D15" s="8" t="s">
        <v>120</v>
      </c>
      <c r="E15" s="8" t="s">
        <v>121</v>
      </c>
      <c r="F15" s="8" t="s">
        <v>122</v>
      </c>
      <c r="G15" s="8" t="s">
        <v>123</v>
      </c>
      <c r="H15" s="8" t="s">
        <v>124</v>
      </c>
    </row>
    <row r="16" spans="1:8" s="2" customFormat="1" x14ac:dyDescent="0.25">
      <c r="A16" s="8" t="s">
        <v>125</v>
      </c>
      <c r="B16" s="8" t="s">
        <v>126</v>
      </c>
      <c r="C16" s="8" t="s">
        <v>30</v>
      </c>
      <c r="D16" s="8" t="s">
        <v>127</v>
      </c>
      <c r="E16" s="8" t="s">
        <v>128</v>
      </c>
      <c r="F16" s="8" t="s">
        <v>129</v>
      </c>
      <c r="G16" s="8" t="s">
        <v>130</v>
      </c>
      <c r="H16" s="8" t="s">
        <v>131</v>
      </c>
    </row>
    <row r="17" spans="1:8" s="2" customFormat="1" x14ac:dyDescent="0.25">
      <c r="A17" s="8" t="s">
        <v>132</v>
      </c>
      <c r="B17" s="8" t="s">
        <v>133</v>
      </c>
      <c r="C17" s="8" t="s">
        <v>30</v>
      </c>
      <c r="D17" s="8" t="s">
        <v>134</v>
      </c>
      <c r="E17" s="8" t="s">
        <v>121</v>
      </c>
      <c r="F17" s="8" t="s">
        <v>135</v>
      </c>
      <c r="G17" s="8" t="s">
        <v>1</v>
      </c>
      <c r="H17" s="8" t="s">
        <v>136</v>
      </c>
    </row>
    <row r="18" spans="1:8" s="2" customFormat="1" x14ac:dyDescent="0.25">
      <c r="A18" s="8" t="s">
        <v>137</v>
      </c>
      <c r="B18" s="8" t="s">
        <v>138</v>
      </c>
      <c r="C18" s="8" t="s">
        <v>139</v>
      </c>
      <c r="D18" s="8" t="s">
        <v>140</v>
      </c>
      <c r="E18" s="8" t="s">
        <v>141</v>
      </c>
      <c r="F18" s="8" t="s">
        <v>142</v>
      </c>
      <c r="G18" s="8" t="s">
        <v>143</v>
      </c>
      <c r="H18" s="8" t="s">
        <v>144</v>
      </c>
    </row>
  </sheetData>
  <autoFilter ref="A1: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9"/>
  <sheetViews>
    <sheetView workbookViewId="0">
      <pane xSplit="2" ySplit="1" topLeftCell="C2" activePane="bottomRight" state="frozen"/>
      <selection pane="bottomRight"/>
    </sheetView>
  </sheetViews>
  <sheetFormatPr defaultRowHeight="15" outlineLevelRow="0" outlineLevelCol="0" x14ac:dyDescent="55"/>
  <cols>
    <col min="2" max="2" width="16" customWidth="1"/>
    <col min="4" max="4" width="16" customWidth="1"/>
    <col min="5" max="5" width="12" customWidth="1"/>
    <col min="7" max="7" width="34" customWidth="1"/>
    <col min="8" max="8" width="58" customWidth="1"/>
    <col min="9" max="9" width="60" customWidth="1"/>
    <col min="10" max="10" width="11" customWidth="1"/>
    <col min="11" max="11" width="14" customWidth="1"/>
    <col min="12" max="12" width="12" customWidth="1"/>
    <col min="13" max="13" width="36" customWidth="1"/>
  </cols>
  <sheetData>
    <row r="1" ht="26" customHeight="1" spans="1:13" s="6" customFormat="1" x14ac:dyDescent="0.25">
      <c r="A1" s="7" t="s">
        <v>20</v>
      </c>
      <c r="B1" s="7" t="s">
        <v>21</v>
      </c>
      <c r="C1" s="7" t="s">
        <v>145</v>
      </c>
      <c r="D1" s="7" t="s">
        <v>146</v>
      </c>
      <c r="E1" s="7" t="s">
        <v>147</v>
      </c>
      <c r="F1" s="7" t="s">
        <v>12</v>
      </c>
      <c r="G1" s="7" t="s">
        <v>24</v>
      </c>
      <c r="H1" s="7" t="s">
        <v>148</v>
      </c>
      <c r="I1" s="7" t="s">
        <v>149</v>
      </c>
      <c r="J1" s="9" t="s">
        <v>150</v>
      </c>
      <c r="K1" s="9" t="s">
        <v>151</v>
      </c>
      <c r="L1" s="9" t="s">
        <v>152</v>
      </c>
      <c r="M1" s="9" t="s">
        <v>153</v>
      </c>
    </row>
    <row r="2" spans="1:13" s="2" customFormat="1" x14ac:dyDescent="0.25">
      <c r="A2" s="8" t="s">
        <v>154</v>
      </c>
      <c r="B2" s="8" t="s">
        <v>155</v>
      </c>
      <c r="C2" s="8" t="s">
        <v>28</v>
      </c>
      <c r="D2" s="8" t="s">
        <v>156</v>
      </c>
      <c r="E2" s="8" t="s">
        <v>157</v>
      </c>
      <c r="F2" s="10" t="s">
        <v>158</v>
      </c>
      <c r="G2" s="8" t="s">
        <v>159</v>
      </c>
      <c r="H2" s="8" t="s">
        <v>160</v>
      </c>
      <c r="I2" s="8" t="s">
        <v>161</v>
      </c>
      <c r="J2" s="11" t="s">
        <v>162</v>
      </c>
      <c r="K2" s="11" t="s">
        <v>1</v>
      </c>
      <c r="L2" s="12" t="s">
        <v>1</v>
      </c>
      <c r="M2" s="11" t="s">
        <v>1</v>
      </c>
    </row>
    <row r="3" spans="1:13" s="2" customFormat="1" x14ac:dyDescent="0.25">
      <c r="A3" s="8" t="s">
        <v>163</v>
      </c>
      <c r="B3" s="8" t="s">
        <v>155</v>
      </c>
      <c r="C3" s="8" t="s">
        <v>28</v>
      </c>
      <c r="D3" s="8" t="s">
        <v>164</v>
      </c>
      <c r="E3" s="8" t="s">
        <v>165</v>
      </c>
      <c r="F3" s="10" t="s">
        <v>158</v>
      </c>
      <c r="G3" s="8" t="s">
        <v>166</v>
      </c>
      <c r="H3" s="8" t="s">
        <v>167</v>
      </c>
      <c r="I3" s="8" t="s">
        <v>168</v>
      </c>
      <c r="J3" s="11" t="s">
        <v>162</v>
      </c>
      <c r="K3" s="11" t="s">
        <v>1</v>
      </c>
      <c r="L3" s="12" t="s">
        <v>1</v>
      </c>
      <c r="M3" s="11" t="s">
        <v>1</v>
      </c>
    </row>
    <row r="4" spans="1:13" s="2" customFormat="1" x14ac:dyDescent="0.25">
      <c r="A4" s="8" t="s">
        <v>169</v>
      </c>
      <c r="B4" s="8" t="s">
        <v>155</v>
      </c>
      <c r="C4" s="8" t="s">
        <v>28</v>
      </c>
      <c r="D4" s="8" t="s">
        <v>164</v>
      </c>
      <c r="E4" s="8" t="s">
        <v>170</v>
      </c>
      <c r="F4" s="10" t="s">
        <v>158</v>
      </c>
      <c r="G4" s="8" t="s">
        <v>171</v>
      </c>
      <c r="H4" s="8" t="s">
        <v>172</v>
      </c>
      <c r="I4" s="8" t="s">
        <v>173</v>
      </c>
      <c r="J4" s="11" t="s">
        <v>162</v>
      </c>
      <c r="K4" s="11" t="s">
        <v>1</v>
      </c>
      <c r="L4" s="12" t="s">
        <v>1</v>
      </c>
      <c r="M4" s="11" t="s">
        <v>1</v>
      </c>
    </row>
    <row r="5" spans="1:13" s="2" customFormat="1" x14ac:dyDescent="0.25">
      <c r="A5" s="8" t="s">
        <v>174</v>
      </c>
      <c r="B5" s="8" t="s">
        <v>155</v>
      </c>
      <c r="C5" s="8" t="s">
        <v>28</v>
      </c>
      <c r="D5" s="8" t="s">
        <v>164</v>
      </c>
      <c r="E5" s="8" t="s">
        <v>170</v>
      </c>
      <c r="F5" s="13" t="s">
        <v>175</v>
      </c>
      <c r="G5" s="8" t="s">
        <v>166</v>
      </c>
      <c r="H5" s="8" t="s">
        <v>176</v>
      </c>
      <c r="I5" s="8" t="s">
        <v>177</v>
      </c>
      <c r="J5" s="11" t="s">
        <v>162</v>
      </c>
      <c r="K5" s="11" t="s">
        <v>1</v>
      </c>
      <c r="L5" s="12" t="s">
        <v>1</v>
      </c>
      <c r="M5" s="11" t="s">
        <v>1</v>
      </c>
    </row>
    <row r="6" spans="1:13" s="2" customFormat="1" x14ac:dyDescent="0.25">
      <c r="A6" s="8" t="s">
        <v>178</v>
      </c>
      <c r="B6" s="8" t="s">
        <v>155</v>
      </c>
      <c r="C6" s="8" t="s">
        <v>28</v>
      </c>
      <c r="D6" s="8" t="s">
        <v>156</v>
      </c>
      <c r="E6" s="8" t="s">
        <v>157</v>
      </c>
      <c r="F6" s="10" t="s">
        <v>158</v>
      </c>
      <c r="G6" s="8" t="s">
        <v>179</v>
      </c>
      <c r="H6" s="8" t="s">
        <v>180</v>
      </c>
      <c r="I6" s="8" t="s">
        <v>181</v>
      </c>
      <c r="J6" s="11" t="s">
        <v>162</v>
      </c>
      <c r="K6" s="11" t="s">
        <v>1</v>
      </c>
      <c r="L6" s="12" t="s">
        <v>1</v>
      </c>
      <c r="M6" s="11" t="s">
        <v>1</v>
      </c>
    </row>
    <row r="7" spans="1:13" s="2" customFormat="1" x14ac:dyDescent="0.25">
      <c r="A7" s="8" t="s">
        <v>182</v>
      </c>
      <c r="B7" s="8" t="s">
        <v>155</v>
      </c>
      <c r="C7" s="8" t="s">
        <v>28</v>
      </c>
      <c r="D7" s="8" t="s">
        <v>156</v>
      </c>
      <c r="E7" s="8" t="s">
        <v>157</v>
      </c>
      <c r="F7" s="10" t="s">
        <v>158</v>
      </c>
      <c r="G7" s="8" t="s">
        <v>183</v>
      </c>
      <c r="H7" s="8" t="s">
        <v>184</v>
      </c>
      <c r="I7" s="8" t="s">
        <v>185</v>
      </c>
      <c r="J7" s="11" t="s">
        <v>162</v>
      </c>
      <c r="K7" s="11" t="s">
        <v>1</v>
      </c>
      <c r="L7" s="12" t="s">
        <v>1</v>
      </c>
      <c r="M7" s="11" t="s">
        <v>1</v>
      </c>
    </row>
    <row r="8" spans="1:13" s="2" customFormat="1" x14ac:dyDescent="0.25">
      <c r="A8" s="8" t="s">
        <v>186</v>
      </c>
      <c r="B8" s="8" t="s">
        <v>155</v>
      </c>
      <c r="C8" s="8" t="s">
        <v>28</v>
      </c>
      <c r="D8" s="8" t="s">
        <v>156</v>
      </c>
      <c r="E8" s="8" t="s">
        <v>157</v>
      </c>
      <c r="F8" s="13" t="s">
        <v>175</v>
      </c>
      <c r="G8" s="8" t="s">
        <v>121</v>
      </c>
      <c r="H8" s="8" t="s">
        <v>187</v>
      </c>
      <c r="I8" s="8" t="s">
        <v>188</v>
      </c>
      <c r="J8" s="11" t="s">
        <v>162</v>
      </c>
      <c r="K8" s="11" t="s">
        <v>1</v>
      </c>
      <c r="L8" s="12" t="s">
        <v>1</v>
      </c>
      <c r="M8" s="11" t="s">
        <v>1</v>
      </c>
    </row>
    <row r="9" spans="1:13" s="2" customFormat="1" x14ac:dyDescent="0.25">
      <c r="A9" s="8" t="s">
        <v>189</v>
      </c>
      <c r="B9" s="8" t="s">
        <v>155</v>
      </c>
      <c r="C9" s="8" t="s">
        <v>28</v>
      </c>
      <c r="D9" s="8" t="s">
        <v>156</v>
      </c>
      <c r="E9" s="8" t="s">
        <v>157</v>
      </c>
      <c r="F9" s="13" t="s">
        <v>190</v>
      </c>
      <c r="G9" s="8" t="s">
        <v>121</v>
      </c>
      <c r="H9" s="8" t="s">
        <v>191</v>
      </c>
      <c r="I9" s="8" t="s">
        <v>192</v>
      </c>
      <c r="J9" s="11" t="s">
        <v>162</v>
      </c>
      <c r="K9" s="11" t="s">
        <v>1</v>
      </c>
      <c r="L9" s="12" t="s">
        <v>1</v>
      </c>
      <c r="M9" s="11" t="s">
        <v>1</v>
      </c>
    </row>
    <row r="10" spans="1:13" s="2" customFormat="1" x14ac:dyDescent="0.25">
      <c r="A10" s="8" t="s">
        <v>193</v>
      </c>
      <c r="B10" s="8" t="s">
        <v>155</v>
      </c>
      <c r="C10" s="8" t="s">
        <v>28</v>
      </c>
      <c r="D10" s="8" t="s">
        <v>164</v>
      </c>
      <c r="E10" s="8" t="s">
        <v>170</v>
      </c>
      <c r="F10" s="10" t="s">
        <v>158</v>
      </c>
      <c r="G10" s="8" t="s">
        <v>166</v>
      </c>
      <c r="H10" s="8" t="s">
        <v>194</v>
      </c>
      <c r="I10" s="8" t="s">
        <v>195</v>
      </c>
      <c r="J10" s="11" t="s">
        <v>162</v>
      </c>
      <c r="K10" s="11" t="s">
        <v>1</v>
      </c>
      <c r="L10" s="12" t="s">
        <v>1</v>
      </c>
      <c r="M10" s="11" t="s">
        <v>1</v>
      </c>
    </row>
    <row r="11" spans="1:13" s="2" customFormat="1" x14ac:dyDescent="0.25">
      <c r="A11" s="8" t="s">
        <v>196</v>
      </c>
      <c r="B11" s="8" t="s">
        <v>155</v>
      </c>
      <c r="C11" s="8" t="s">
        <v>28</v>
      </c>
      <c r="D11" s="8" t="s">
        <v>164</v>
      </c>
      <c r="E11" s="8" t="s">
        <v>197</v>
      </c>
      <c r="F11" s="13" t="s">
        <v>190</v>
      </c>
      <c r="G11" s="8" t="s">
        <v>166</v>
      </c>
      <c r="H11" s="8" t="s">
        <v>198</v>
      </c>
      <c r="I11" s="8" t="s">
        <v>199</v>
      </c>
      <c r="J11" s="11" t="s">
        <v>162</v>
      </c>
      <c r="K11" s="11" t="s">
        <v>1</v>
      </c>
      <c r="L11" s="12" t="s">
        <v>1</v>
      </c>
      <c r="M11" s="11" t="s">
        <v>1</v>
      </c>
    </row>
    <row r="12" spans="1:13" s="2" customFormat="1" x14ac:dyDescent="0.25">
      <c r="A12" s="8" t="s">
        <v>200</v>
      </c>
      <c r="B12" s="8" t="s">
        <v>201</v>
      </c>
      <c r="C12" s="8" t="s">
        <v>36</v>
      </c>
      <c r="D12" s="8" t="s">
        <v>164</v>
      </c>
      <c r="E12" s="8" t="s">
        <v>157</v>
      </c>
      <c r="F12" s="10" t="s">
        <v>158</v>
      </c>
      <c r="G12" s="8" t="s">
        <v>202</v>
      </c>
      <c r="H12" s="8" t="s">
        <v>203</v>
      </c>
      <c r="I12" s="8" t="s">
        <v>204</v>
      </c>
      <c r="J12" s="11" t="s">
        <v>162</v>
      </c>
      <c r="K12" s="11" t="s">
        <v>1</v>
      </c>
      <c r="L12" s="12" t="s">
        <v>1</v>
      </c>
      <c r="M12" s="11" t="s">
        <v>1</v>
      </c>
    </row>
    <row r="13" spans="1:13" s="2" customFormat="1" x14ac:dyDescent="0.25">
      <c r="A13" s="8" t="s">
        <v>205</v>
      </c>
      <c r="B13" s="8" t="s">
        <v>201</v>
      </c>
      <c r="C13" s="8" t="s">
        <v>36</v>
      </c>
      <c r="D13" s="8" t="s">
        <v>164</v>
      </c>
      <c r="E13" s="8" t="s">
        <v>170</v>
      </c>
      <c r="F13" s="10" t="s">
        <v>158</v>
      </c>
      <c r="G13" s="8" t="s">
        <v>166</v>
      </c>
      <c r="H13" s="8" t="s">
        <v>206</v>
      </c>
      <c r="I13" s="8" t="s">
        <v>207</v>
      </c>
      <c r="J13" s="11" t="s">
        <v>162</v>
      </c>
      <c r="K13" s="11" t="s">
        <v>1</v>
      </c>
      <c r="L13" s="12" t="s">
        <v>1</v>
      </c>
      <c r="M13" s="11" t="s">
        <v>1</v>
      </c>
    </row>
    <row r="14" spans="1:13" s="2" customFormat="1" x14ac:dyDescent="0.25">
      <c r="A14" s="8" t="s">
        <v>208</v>
      </c>
      <c r="B14" s="8" t="s">
        <v>201</v>
      </c>
      <c r="C14" s="8" t="s">
        <v>36</v>
      </c>
      <c r="D14" s="8" t="s">
        <v>164</v>
      </c>
      <c r="E14" s="8" t="s">
        <v>165</v>
      </c>
      <c r="F14" s="13" t="s">
        <v>175</v>
      </c>
      <c r="G14" s="8" t="s">
        <v>209</v>
      </c>
      <c r="H14" s="8" t="s">
        <v>210</v>
      </c>
      <c r="I14" s="8" t="s">
        <v>211</v>
      </c>
      <c r="J14" s="11" t="s">
        <v>162</v>
      </c>
      <c r="K14" s="11" t="s">
        <v>1</v>
      </c>
      <c r="L14" s="12" t="s">
        <v>1</v>
      </c>
      <c r="M14" s="11" t="s">
        <v>1</v>
      </c>
    </row>
    <row r="15" spans="1:13" s="2" customFormat="1" x14ac:dyDescent="0.25">
      <c r="A15" s="8" t="s">
        <v>212</v>
      </c>
      <c r="B15" s="8" t="s">
        <v>201</v>
      </c>
      <c r="C15" s="8" t="s">
        <v>36</v>
      </c>
      <c r="D15" s="8" t="s">
        <v>164</v>
      </c>
      <c r="E15" s="8" t="s">
        <v>170</v>
      </c>
      <c r="F15" s="13" t="s">
        <v>175</v>
      </c>
      <c r="G15" s="8" t="s">
        <v>166</v>
      </c>
      <c r="H15" s="8" t="s">
        <v>213</v>
      </c>
      <c r="I15" s="8" t="s">
        <v>214</v>
      </c>
      <c r="J15" s="11" t="s">
        <v>162</v>
      </c>
      <c r="K15" s="11" t="s">
        <v>1</v>
      </c>
      <c r="L15" s="12" t="s">
        <v>1</v>
      </c>
      <c r="M15" s="11" t="s">
        <v>1</v>
      </c>
    </row>
    <row r="16" spans="1:13" s="2" customFormat="1" x14ac:dyDescent="0.25">
      <c r="A16" s="8" t="s">
        <v>215</v>
      </c>
      <c r="B16" s="8" t="s">
        <v>201</v>
      </c>
      <c r="C16" s="8" t="s">
        <v>36</v>
      </c>
      <c r="D16" s="8" t="s">
        <v>156</v>
      </c>
      <c r="E16" s="8" t="s">
        <v>216</v>
      </c>
      <c r="F16" s="10" t="s">
        <v>158</v>
      </c>
      <c r="G16" s="8" t="s">
        <v>121</v>
      </c>
      <c r="H16" s="8" t="s">
        <v>217</v>
      </c>
      <c r="I16" s="8" t="s">
        <v>218</v>
      </c>
      <c r="J16" s="11" t="s">
        <v>162</v>
      </c>
      <c r="K16" s="11" t="s">
        <v>1</v>
      </c>
      <c r="L16" s="12" t="s">
        <v>1</v>
      </c>
      <c r="M16" s="11" t="s">
        <v>1</v>
      </c>
    </row>
    <row r="17" spans="1:13" s="2" customFormat="1" x14ac:dyDescent="0.25">
      <c r="A17" s="8" t="s">
        <v>219</v>
      </c>
      <c r="B17" s="8" t="s">
        <v>201</v>
      </c>
      <c r="C17" s="8" t="s">
        <v>36</v>
      </c>
      <c r="D17" s="8" t="s">
        <v>156</v>
      </c>
      <c r="E17" s="8" t="s">
        <v>157</v>
      </c>
      <c r="F17" s="10" t="s">
        <v>158</v>
      </c>
      <c r="G17" s="8" t="s">
        <v>220</v>
      </c>
      <c r="H17" s="8" t="s">
        <v>221</v>
      </c>
      <c r="I17" s="8" t="s">
        <v>222</v>
      </c>
      <c r="J17" s="11" t="s">
        <v>162</v>
      </c>
      <c r="K17" s="11" t="s">
        <v>1</v>
      </c>
      <c r="L17" s="12" t="s">
        <v>1</v>
      </c>
      <c r="M17" s="11" t="s">
        <v>1</v>
      </c>
    </row>
    <row r="18" spans="1:13" s="2" customFormat="1" x14ac:dyDescent="0.25">
      <c r="A18" s="8" t="s">
        <v>223</v>
      </c>
      <c r="B18" s="8" t="s">
        <v>201</v>
      </c>
      <c r="C18" s="8" t="s">
        <v>36</v>
      </c>
      <c r="D18" s="8" t="s">
        <v>156</v>
      </c>
      <c r="E18" s="8" t="s">
        <v>197</v>
      </c>
      <c r="F18" s="13" t="s">
        <v>190</v>
      </c>
      <c r="G18" s="8" t="s">
        <v>224</v>
      </c>
      <c r="H18" s="8" t="s">
        <v>225</v>
      </c>
      <c r="I18" s="8" t="s">
        <v>226</v>
      </c>
      <c r="J18" s="11" t="s">
        <v>162</v>
      </c>
      <c r="K18" s="11" t="s">
        <v>1</v>
      </c>
      <c r="L18" s="12" t="s">
        <v>1</v>
      </c>
      <c r="M18" s="11" t="s">
        <v>1</v>
      </c>
    </row>
    <row r="19" spans="1:13" s="2" customFormat="1" x14ac:dyDescent="0.25">
      <c r="A19" s="8" t="s">
        <v>227</v>
      </c>
      <c r="B19" s="8" t="s">
        <v>228</v>
      </c>
      <c r="C19" s="8" t="s">
        <v>99</v>
      </c>
      <c r="D19" s="8" t="s">
        <v>101</v>
      </c>
      <c r="E19" s="8" t="s">
        <v>157</v>
      </c>
      <c r="F19" s="10" t="s">
        <v>158</v>
      </c>
      <c r="G19" s="8" t="s">
        <v>229</v>
      </c>
      <c r="H19" s="8" t="s">
        <v>230</v>
      </c>
      <c r="I19" s="8" t="s">
        <v>231</v>
      </c>
      <c r="J19" s="11" t="s">
        <v>162</v>
      </c>
      <c r="K19" s="11" t="s">
        <v>1</v>
      </c>
      <c r="L19" s="12" t="s">
        <v>1</v>
      </c>
      <c r="M19" s="11" t="s">
        <v>1</v>
      </c>
    </row>
    <row r="20" spans="1:13" s="2" customFormat="1" x14ac:dyDescent="0.25">
      <c r="A20" s="8" t="s">
        <v>232</v>
      </c>
      <c r="B20" s="8" t="s">
        <v>233</v>
      </c>
      <c r="C20" s="8" t="s">
        <v>28</v>
      </c>
      <c r="D20" s="8" t="s">
        <v>164</v>
      </c>
      <c r="E20" s="8" t="s">
        <v>157</v>
      </c>
      <c r="F20" s="13" t="s">
        <v>175</v>
      </c>
      <c r="G20" s="8" t="s">
        <v>166</v>
      </c>
      <c r="H20" s="8" t="s">
        <v>234</v>
      </c>
      <c r="I20" s="8" t="s">
        <v>235</v>
      </c>
      <c r="J20" s="11" t="s">
        <v>162</v>
      </c>
      <c r="K20" s="11" t="s">
        <v>1</v>
      </c>
      <c r="L20" s="12" t="s">
        <v>1</v>
      </c>
      <c r="M20" s="11" t="s">
        <v>1</v>
      </c>
    </row>
    <row r="21" spans="1:13" s="2" customFormat="1" x14ac:dyDescent="0.25">
      <c r="A21" s="8" t="s">
        <v>236</v>
      </c>
      <c r="B21" s="8" t="s">
        <v>233</v>
      </c>
      <c r="C21" s="8" t="s">
        <v>107</v>
      </c>
      <c r="D21" s="8" t="s">
        <v>101</v>
      </c>
      <c r="E21" s="8" t="s">
        <v>157</v>
      </c>
      <c r="F21" s="10" t="s">
        <v>158</v>
      </c>
      <c r="G21" s="8" t="s">
        <v>237</v>
      </c>
      <c r="H21" s="8" t="s">
        <v>238</v>
      </c>
      <c r="I21" s="8" t="s">
        <v>239</v>
      </c>
      <c r="J21" s="11" t="s">
        <v>162</v>
      </c>
      <c r="K21" s="11" t="s">
        <v>1</v>
      </c>
      <c r="L21" s="12" t="s">
        <v>1</v>
      </c>
      <c r="M21" s="11" t="s">
        <v>1</v>
      </c>
    </row>
    <row r="22" spans="1:13" s="2" customFormat="1" x14ac:dyDescent="0.25">
      <c r="A22" s="8" t="s">
        <v>240</v>
      </c>
      <c r="B22" s="8" t="s">
        <v>233</v>
      </c>
      <c r="C22" s="8" t="s">
        <v>107</v>
      </c>
      <c r="D22" s="8" t="s">
        <v>101</v>
      </c>
      <c r="E22" s="8" t="s">
        <v>157</v>
      </c>
      <c r="F22" s="10" t="s">
        <v>158</v>
      </c>
      <c r="G22" s="8" t="s">
        <v>241</v>
      </c>
      <c r="H22" s="8" t="s">
        <v>242</v>
      </c>
      <c r="I22" s="8" t="s">
        <v>243</v>
      </c>
      <c r="J22" s="11" t="s">
        <v>162</v>
      </c>
      <c r="K22" s="11" t="s">
        <v>1</v>
      </c>
      <c r="L22" s="12" t="s">
        <v>1</v>
      </c>
      <c r="M22" s="11" t="s">
        <v>1</v>
      </c>
    </row>
    <row r="23" spans="1:13" s="2" customFormat="1" x14ac:dyDescent="0.25">
      <c r="A23" s="8" t="s">
        <v>244</v>
      </c>
      <c r="B23" s="8" t="s">
        <v>233</v>
      </c>
      <c r="C23" s="8" t="s">
        <v>107</v>
      </c>
      <c r="D23" s="8" t="s">
        <v>101</v>
      </c>
      <c r="E23" s="8" t="s">
        <v>216</v>
      </c>
      <c r="F23" s="13" t="s">
        <v>190</v>
      </c>
      <c r="G23" s="8" t="s">
        <v>245</v>
      </c>
      <c r="H23" s="8" t="s">
        <v>246</v>
      </c>
      <c r="I23" s="8" t="s">
        <v>247</v>
      </c>
      <c r="J23" s="11" t="s">
        <v>162</v>
      </c>
      <c r="K23" s="11" t="s">
        <v>1</v>
      </c>
      <c r="L23" s="12" t="s">
        <v>1</v>
      </c>
      <c r="M23" s="11" t="s">
        <v>1</v>
      </c>
    </row>
    <row r="24" spans="1:13" s="2" customFormat="1" x14ac:dyDescent="0.25">
      <c r="A24" s="8" t="s">
        <v>248</v>
      </c>
      <c r="B24" s="8" t="s">
        <v>249</v>
      </c>
      <c r="C24" s="8" t="s">
        <v>42</v>
      </c>
      <c r="D24" s="8" t="s">
        <v>44</v>
      </c>
      <c r="E24" s="8" t="s">
        <v>157</v>
      </c>
      <c r="F24" s="10" t="s">
        <v>158</v>
      </c>
      <c r="G24" s="8" t="s">
        <v>250</v>
      </c>
      <c r="H24" s="8" t="s">
        <v>251</v>
      </c>
      <c r="I24" s="8" t="s">
        <v>252</v>
      </c>
      <c r="J24" s="11" t="s">
        <v>162</v>
      </c>
      <c r="K24" s="11" t="s">
        <v>1</v>
      </c>
      <c r="L24" s="12" t="s">
        <v>1</v>
      </c>
      <c r="M24" s="11" t="s">
        <v>1</v>
      </c>
    </row>
    <row r="25" spans="1:13" s="2" customFormat="1" x14ac:dyDescent="0.25">
      <c r="A25" s="8" t="s">
        <v>253</v>
      </c>
      <c r="B25" s="8" t="s">
        <v>249</v>
      </c>
      <c r="C25" s="8" t="s">
        <v>42</v>
      </c>
      <c r="D25" s="8" t="s">
        <v>44</v>
      </c>
      <c r="E25" s="8" t="s">
        <v>157</v>
      </c>
      <c r="F25" s="10" t="s">
        <v>158</v>
      </c>
      <c r="G25" s="8" t="s">
        <v>250</v>
      </c>
      <c r="H25" s="8" t="s">
        <v>254</v>
      </c>
      <c r="I25" s="8" t="s">
        <v>255</v>
      </c>
      <c r="J25" s="11" t="s">
        <v>162</v>
      </c>
      <c r="K25" s="11" t="s">
        <v>1</v>
      </c>
      <c r="L25" s="12" t="s">
        <v>1</v>
      </c>
      <c r="M25" s="11" t="s">
        <v>1</v>
      </c>
    </row>
    <row r="26" spans="1:13" s="2" customFormat="1" x14ac:dyDescent="0.25">
      <c r="A26" s="8" t="s">
        <v>256</v>
      </c>
      <c r="B26" s="8" t="s">
        <v>249</v>
      </c>
      <c r="C26" s="8" t="s">
        <v>42</v>
      </c>
      <c r="D26" s="8" t="s">
        <v>44</v>
      </c>
      <c r="E26" s="8" t="s">
        <v>216</v>
      </c>
      <c r="F26" s="10" t="s">
        <v>158</v>
      </c>
      <c r="G26" s="8" t="s">
        <v>257</v>
      </c>
      <c r="H26" s="8" t="s">
        <v>258</v>
      </c>
      <c r="I26" s="8" t="s">
        <v>259</v>
      </c>
      <c r="J26" s="11" t="s">
        <v>162</v>
      </c>
      <c r="K26" s="11" t="s">
        <v>1</v>
      </c>
      <c r="L26" s="12" t="s">
        <v>1</v>
      </c>
      <c r="M26" s="11" t="s">
        <v>1</v>
      </c>
    </row>
    <row r="27" spans="1:13" s="2" customFormat="1" x14ac:dyDescent="0.25">
      <c r="A27" s="8" t="s">
        <v>260</v>
      </c>
      <c r="B27" s="8" t="s">
        <v>249</v>
      </c>
      <c r="C27" s="8" t="s">
        <v>42</v>
      </c>
      <c r="D27" s="8" t="s">
        <v>44</v>
      </c>
      <c r="E27" s="8" t="s">
        <v>216</v>
      </c>
      <c r="F27" s="13" t="s">
        <v>175</v>
      </c>
      <c r="G27" s="8" t="s">
        <v>261</v>
      </c>
      <c r="H27" s="8" t="s">
        <v>262</v>
      </c>
      <c r="I27" s="8" t="s">
        <v>263</v>
      </c>
      <c r="J27" s="11" t="s">
        <v>162</v>
      </c>
      <c r="K27" s="11" t="s">
        <v>1</v>
      </c>
      <c r="L27" s="12" t="s">
        <v>1</v>
      </c>
      <c r="M27" s="11" t="s">
        <v>1</v>
      </c>
    </row>
    <row r="28" spans="1:13" s="2" customFormat="1" x14ac:dyDescent="0.25">
      <c r="A28" s="8" t="s">
        <v>264</v>
      </c>
      <c r="B28" s="8" t="s">
        <v>249</v>
      </c>
      <c r="C28" s="8" t="s">
        <v>42</v>
      </c>
      <c r="D28" s="8" t="s">
        <v>44</v>
      </c>
      <c r="E28" s="8" t="s">
        <v>157</v>
      </c>
      <c r="F28" s="13" t="s">
        <v>175</v>
      </c>
      <c r="G28" s="8" t="s">
        <v>265</v>
      </c>
      <c r="H28" s="8" t="s">
        <v>266</v>
      </c>
      <c r="I28" s="8" t="s">
        <v>267</v>
      </c>
      <c r="J28" s="11" t="s">
        <v>162</v>
      </c>
      <c r="K28" s="11" t="s">
        <v>1</v>
      </c>
      <c r="L28" s="12" t="s">
        <v>1</v>
      </c>
      <c r="M28" s="11" t="s">
        <v>1</v>
      </c>
    </row>
    <row r="29" spans="1:13" s="2" customFormat="1" x14ac:dyDescent="0.25">
      <c r="A29" s="8" t="s">
        <v>268</v>
      </c>
      <c r="B29" s="8" t="s">
        <v>249</v>
      </c>
      <c r="C29" s="8" t="s">
        <v>42</v>
      </c>
      <c r="D29" s="8" t="s">
        <v>44</v>
      </c>
      <c r="E29" s="8" t="s">
        <v>157</v>
      </c>
      <c r="F29" s="13" t="s">
        <v>175</v>
      </c>
      <c r="G29" s="8" t="s">
        <v>261</v>
      </c>
      <c r="H29" s="8" t="s">
        <v>269</v>
      </c>
      <c r="I29" s="8" t="s">
        <v>270</v>
      </c>
      <c r="J29" s="11" t="s">
        <v>162</v>
      </c>
      <c r="K29" s="11" t="s">
        <v>1</v>
      </c>
      <c r="L29" s="12" t="s">
        <v>1</v>
      </c>
      <c r="M29" s="11" t="s">
        <v>1</v>
      </c>
    </row>
    <row r="30" spans="1:13" s="2" customFormat="1" x14ac:dyDescent="0.25">
      <c r="A30" s="8" t="s">
        <v>271</v>
      </c>
      <c r="B30" s="8" t="s">
        <v>272</v>
      </c>
      <c r="C30" s="8" t="s">
        <v>42</v>
      </c>
      <c r="D30" s="8" t="s">
        <v>44</v>
      </c>
      <c r="E30" s="8" t="s">
        <v>157</v>
      </c>
      <c r="F30" s="10" t="s">
        <v>158</v>
      </c>
      <c r="G30" s="8" t="s">
        <v>273</v>
      </c>
      <c r="H30" s="8" t="s">
        <v>274</v>
      </c>
      <c r="I30" s="8" t="s">
        <v>275</v>
      </c>
      <c r="J30" s="11" t="s">
        <v>162</v>
      </c>
      <c r="K30" s="11" t="s">
        <v>1</v>
      </c>
      <c r="L30" s="12" t="s">
        <v>1</v>
      </c>
      <c r="M30" s="11" t="s">
        <v>1</v>
      </c>
    </row>
    <row r="31" spans="1:13" s="2" customFormat="1" x14ac:dyDescent="0.25">
      <c r="A31" s="8" t="s">
        <v>276</v>
      </c>
      <c r="B31" s="8" t="s">
        <v>272</v>
      </c>
      <c r="C31" s="8" t="s">
        <v>42</v>
      </c>
      <c r="D31" s="8" t="s">
        <v>44</v>
      </c>
      <c r="E31" s="8" t="s">
        <v>216</v>
      </c>
      <c r="F31" s="10" t="s">
        <v>158</v>
      </c>
      <c r="G31" s="8" t="s">
        <v>273</v>
      </c>
      <c r="H31" s="8" t="s">
        <v>277</v>
      </c>
      <c r="I31" s="8" t="s">
        <v>278</v>
      </c>
      <c r="J31" s="11" t="s">
        <v>162</v>
      </c>
      <c r="K31" s="11" t="s">
        <v>1</v>
      </c>
      <c r="L31" s="12" t="s">
        <v>1</v>
      </c>
      <c r="M31" s="11" t="s">
        <v>1</v>
      </c>
    </row>
    <row r="32" spans="1:13" s="2" customFormat="1" x14ac:dyDescent="0.25">
      <c r="A32" s="8" t="s">
        <v>279</v>
      </c>
      <c r="B32" s="8" t="s">
        <v>272</v>
      </c>
      <c r="C32" s="8" t="s">
        <v>42</v>
      </c>
      <c r="D32" s="8" t="s">
        <v>44</v>
      </c>
      <c r="E32" s="8" t="s">
        <v>157</v>
      </c>
      <c r="F32" s="13" t="s">
        <v>175</v>
      </c>
      <c r="G32" s="8" t="s">
        <v>280</v>
      </c>
      <c r="H32" s="8" t="s">
        <v>281</v>
      </c>
      <c r="I32" s="8" t="s">
        <v>282</v>
      </c>
      <c r="J32" s="11" t="s">
        <v>162</v>
      </c>
      <c r="K32" s="11" t="s">
        <v>1</v>
      </c>
      <c r="L32" s="12" t="s">
        <v>1</v>
      </c>
      <c r="M32" s="11" t="s">
        <v>1</v>
      </c>
    </row>
    <row r="33" spans="1:13" s="2" customFormat="1" x14ac:dyDescent="0.25">
      <c r="A33" s="8" t="s">
        <v>283</v>
      </c>
      <c r="B33" s="8" t="s">
        <v>272</v>
      </c>
      <c r="C33" s="8" t="s">
        <v>42</v>
      </c>
      <c r="D33" s="8" t="s">
        <v>44</v>
      </c>
      <c r="E33" s="8" t="s">
        <v>157</v>
      </c>
      <c r="F33" s="10" t="s">
        <v>158</v>
      </c>
      <c r="G33" s="8" t="s">
        <v>284</v>
      </c>
      <c r="H33" s="8" t="s">
        <v>285</v>
      </c>
      <c r="I33" s="8" t="s">
        <v>286</v>
      </c>
      <c r="J33" s="11" t="s">
        <v>162</v>
      </c>
      <c r="K33" s="11" t="s">
        <v>1</v>
      </c>
      <c r="L33" s="12" t="s">
        <v>1</v>
      </c>
      <c r="M33" s="11" t="s">
        <v>1</v>
      </c>
    </row>
    <row r="34" spans="1:13" s="2" customFormat="1" x14ac:dyDescent="0.25">
      <c r="A34" s="8" t="s">
        <v>287</v>
      </c>
      <c r="B34" s="8" t="s">
        <v>288</v>
      </c>
      <c r="C34" s="8" t="s">
        <v>42</v>
      </c>
      <c r="D34" s="8" t="s">
        <v>44</v>
      </c>
      <c r="E34" s="8" t="s">
        <v>157</v>
      </c>
      <c r="F34" s="10" t="s">
        <v>158</v>
      </c>
      <c r="G34" s="8" t="s">
        <v>289</v>
      </c>
      <c r="H34" s="8" t="s">
        <v>290</v>
      </c>
      <c r="I34" s="8" t="s">
        <v>291</v>
      </c>
      <c r="J34" s="11" t="s">
        <v>162</v>
      </c>
      <c r="K34" s="11" t="s">
        <v>1</v>
      </c>
      <c r="L34" s="12" t="s">
        <v>1</v>
      </c>
      <c r="M34" s="11" t="s">
        <v>1</v>
      </c>
    </row>
    <row r="35" spans="1:13" s="2" customFormat="1" x14ac:dyDescent="0.25">
      <c r="A35" s="8" t="s">
        <v>292</v>
      </c>
      <c r="B35" s="8" t="s">
        <v>288</v>
      </c>
      <c r="C35" s="8" t="s">
        <v>42</v>
      </c>
      <c r="D35" s="8" t="s">
        <v>44</v>
      </c>
      <c r="E35" s="8" t="s">
        <v>157</v>
      </c>
      <c r="F35" s="10" t="s">
        <v>158</v>
      </c>
      <c r="G35" s="8" t="s">
        <v>293</v>
      </c>
      <c r="H35" s="8" t="s">
        <v>294</v>
      </c>
      <c r="I35" s="8" t="s">
        <v>295</v>
      </c>
      <c r="J35" s="11" t="s">
        <v>162</v>
      </c>
      <c r="K35" s="11" t="s">
        <v>1</v>
      </c>
      <c r="L35" s="12" t="s">
        <v>1</v>
      </c>
      <c r="M35" s="11" t="s">
        <v>1</v>
      </c>
    </row>
    <row r="36" spans="1:13" s="2" customFormat="1" x14ac:dyDescent="0.25">
      <c r="A36" s="8" t="s">
        <v>296</v>
      </c>
      <c r="B36" s="8" t="s">
        <v>288</v>
      </c>
      <c r="C36" s="8" t="s">
        <v>42</v>
      </c>
      <c r="D36" s="8" t="s">
        <v>44</v>
      </c>
      <c r="E36" s="8" t="s">
        <v>157</v>
      </c>
      <c r="F36" s="13" t="s">
        <v>175</v>
      </c>
      <c r="G36" s="8" t="s">
        <v>297</v>
      </c>
      <c r="H36" s="8" t="s">
        <v>298</v>
      </c>
      <c r="I36" s="8" t="s">
        <v>299</v>
      </c>
      <c r="J36" s="11" t="s">
        <v>162</v>
      </c>
      <c r="K36" s="11" t="s">
        <v>1</v>
      </c>
      <c r="L36" s="12" t="s">
        <v>1</v>
      </c>
      <c r="M36" s="11" t="s">
        <v>1</v>
      </c>
    </row>
    <row r="37" spans="1:13" s="2" customFormat="1" x14ac:dyDescent="0.25">
      <c r="A37" s="8" t="s">
        <v>300</v>
      </c>
      <c r="B37" s="8" t="s">
        <v>288</v>
      </c>
      <c r="C37" s="8" t="s">
        <v>42</v>
      </c>
      <c r="D37" s="8" t="s">
        <v>44</v>
      </c>
      <c r="E37" s="8" t="s">
        <v>157</v>
      </c>
      <c r="F37" s="13" t="s">
        <v>175</v>
      </c>
      <c r="G37" s="8" t="s">
        <v>301</v>
      </c>
      <c r="H37" s="8" t="s">
        <v>302</v>
      </c>
      <c r="I37" s="8" t="s">
        <v>303</v>
      </c>
      <c r="J37" s="11" t="s">
        <v>162</v>
      </c>
      <c r="K37" s="11" t="s">
        <v>1</v>
      </c>
      <c r="L37" s="12" t="s">
        <v>1</v>
      </c>
      <c r="M37" s="11" t="s">
        <v>1</v>
      </c>
    </row>
    <row r="38" spans="1:13" s="2" customFormat="1" x14ac:dyDescent="0.25">
      <c r="A38" s="8" t="s">
        <v>304</v>
      </c>
      <c r="B38" s="8" t="s">
        <v>249</v>
      </c>
      <c r="C38" s="8" t="s">
        <v>42</v>
      </c>
      <c r="D38" s="8" t="s">
        <v>44</v>
      </c>
      <c r="E38" s="8" t="s">
        <v>197</v>
      </c>
      <c r="F38" s="13" t="s">
        <v>175</v>
      </c>
      <c r="G38" s="8" t="s">
        <v>305</v>
      </c>
      <c r="H38" s="8" t="s">
        <v>306</v>
      </c>
      <c r="I38" s="8" t="s">
        <v>307</v>
      </c>
      <c r="J38" s="11" t="s">
        <v>162</v>
      </c>
      <c r="K38" s="11" t="s">
        <v>1</v>
      </c>
      <c r="L38" s="12" t="s">
        <v>1</v>
      </c>
      <c r="M38" s="11" t="s">
        <v>1</v>
      </c>
    </row>
    <row r="39" spans="1:13" s="2" customFormat="1" x14ac:dyDescent="0.25">
      <c r="A39" s="8" t="s">
        <v>308</v>
      </c>
      <c r="B39" s="8" t="s">
        <v>43</v>
      </c>
      <c r="C39" s="8" t="s">
        <v>42</v>
      </c>
      <c r="D39" s="8" t="s">
        <v>44</v>
      </c>
      <c r="E39" s="8" t="s">
        <v>157</v>
      </c>
      <c r="F39" s="10" t="s">
        <v>158</v>
      </c>
      <c r="G39" s="8" t="s">
        <v>309</v>
      </c>
      <c r="H39" s="8" t="s">
        <v>310</v>
      </c>
      <c r="I39" s="8" t="s">
        <v>311</v>
      </c>
      <c r="J39" s="11" t="s">
        <v>162</v>
      </c>
      <c r="K39" s="11" t="s">
        <v>1</v>
      </c>
      <c r="L39" s="12" t="s">
        <v>1</v>
      </c>
      <c r="M39" s="11" t="s">
        <v>1</v>
      </c>
    </row>
    <row r="40" spans="1:13" s="2" customFormat="1" x14ac:dyDescent="0.25">
      <c r="A40" s="8" t="s">
        <v>312</v>
      </c>
      <c r="B40" s="8" t="s">
        <v>43</v>
      </c>
      <c r="C40" s="8" t="s">
        <v>42</v>
      </c>
      <c r="D40" s="8" t="s">
        <v>44</v>
      </c>
      <c r="E40" s="8" t="s">
        <v>313</v>
      </c>
      <c r="F40" s="10" t="s">
        <v>158</v>
      </c>
      <c r="G40" s="8" t="s">
        <v>314</v>
      </c>
      <c r="H40" s="8" t="s">
        <v>315</v>
      </c>
      <c r="I40" s="8" t="s">
        <v>316</v>
      </c>
      <c r="J40" s="11" t="s">
        <v>162</v>
      </c>
      <c r="K40" s="11" t="s">
        <v>1</v>
      </c>
      <c r="L40" s="12" t="s">
        <v>1</v>
      </c>
      <c r="M40" s="11" t="s">
        <v>1</v>
      </c>
    </row>
    <row r="41" spans="1:13" s="2" customFormat="1" x14ac:dyDescent="0.25">
      <c r="A41" s="8" t="s">
        <v>317</v>
      </c>
      <c r="B41" s="8" t="s">
        <v>43</v>
      </c>
      <c r="C41" s="8" t="s">
        <v>42</v>
      </c>
      <c r="D41" s="8" t="s">
        <v>44</v>
      </c>
      <c r="E41" s="8" t="s">
        <v>165</v>
      </c>
      <c r="F41" s="10" t="s">
        <v>158</v>
      </c>
      <c r="G41" s="8" t="s">
        <v>318</v>
      </c>
      <c r="H41" s="8" t="s">
        <v>319</v>
      </c>
      <c r="I41" s="8" t="s">
        <v>320</v>
      </c>
      <c r="J41" s="11" t="s">
        <v>162</v>
      </c>
      <c r="K41" s="11" t="s">
        <v>1</v>
      </c>
      <c r="L41" s="12" t="s">
        <v>1</v>
      </c>
      <c r="M41" s="11" t="s">
        <v>1</v>
      </c>
    </row>
    <row r="42" spans="1:13" s="2" customFormat="1" x14ac:dyDescent="0.25">
      <c r="A42" s="8" t="s">
        <v>321</v>
      </c>
      <c r="B42" s="8" t="s">
        <v>43</v>
      </c>
      <c r="C42" s="8" t="s">
        <v>42</v>
      </c>
      <c r="D42" s="8" t="s">
        <v>44</v>
      </c>
      <c r="E42" s="8" t="s">
        <v>157</v>
      </c>
      <c r="F42" s="13" t="s">
        <v>175</v>
      </c>
      <c r="G42" s="8" t="s">
        <v>322</v>
      </c>
      <c r="H42" s="8" t="s">
        <v>323</v>
      </c>
      <c r="I42" s="8" t="s">
        <v>324</v>
      </c>
      <c r="J42" s="11" t="s">
        <v>162</v>
      </c>
      <c r="K42" s="11" t="s">
        <v>1</v>
      </c>
      <c r="L42" s="12" t="s">
        <v>1</v>
      </c>
      <c r="M42" s="11" t="s">
        <v>1</v>
      </c>
    </row>
    <row r="43" spans="1:13" s="2" customFormat="1" x14ac:dyDescent="0.25">
      <c r="A43" s="8" t="s">
        <v>325</v>
      </c>
      <c r="B43" s="8" t="s">
        <v>326</v>
      </c>
      <c r="C43" s="8" t="s">
        <v>56</v>
      </c>
      <c r="D43" s="8" t="s">
        <v>44</v>
      </c>
      <c r="E43" s="8" t="s">
        <v>157</v>
      </c>
      <c r="F43" s="13" t="s">
        <v>175</v>
      </c>
      <c r="G43" s="8" t="s">
        <v>327</v>
      </c>
      <c r="H43" s="8" t="s">
        <v>328</v>
      </c>
      <c r="I43" s="8" t="s">
        <v>329</v>
      </c>
      <c r="J43" s="11" t="s">
        <v>162</v>
      </c>
      <c r="K43" s="11" t="s">
        <v>1</v>
      </c>
      <c r="L43" s="12" t="s">
        <v>1</v>
      </c>
      <c r="M43" s="11" t="s">
        <v>1</v>
      </c>
    </row>
    <row r="44" spans="1:13" s="2" customFormat="1" x14ac:dyDescent="0.25">
      <c r="A44" s="8" t="s">
        <v>330</v>
      </c>
      <c r="B44" s="8" t="s">
        <v>326</v>
      </c>
      <c r="C44" s="8" t="s">
        <v>56</v>
      </c>
      <c r="D44" s="8" t="s">
        <v>44</v>
      </c>
      <c r="E44" s="8" t="s">
        <v>165</v>
      </c>
      <c r="F44" s="13" t="s">
        <v>190</v>
      </c>
      <c r="G44" s="8" t="s">
        <v>331</v>
      </c>
      <c r="H44" s="8" t="s">
        <v>332</v>
      </c>
      <c r="I44" s="8" t="s">
        <v>333</v>
      </c>
      <c r="J44" s="11" t="s">
        <v>162</v>
      </c>
      <c r="K44" s="11" t="s">
        <v>1</v>
      </c>
      <c r="L44" s="12" t="s">
        <v>1</v>
      </c>
      <c r="M44" s="11" t="s">
        <v>1</v>
      </c>
    </row>
    <row r="45" spans="1:13" s="2" customFormat="1" x14ac:dyDescent="0.25">
      <c r="A45" s="8" t="s">
        <v>334</v>
      </c>
      <c r="B45" s="8" t="s">
        <v>335</v>
      </c>
      <c r="C45" s="8" t="s">
        <v>42</v>
      </c>
      <c r="D45" s="8" t="s">
        <v>64</v>
      </c>
      <c r="E45" s="8" t="s">
        <v>157</v>
      </c>
      <c r="F45" s="13" t="s">
        <v>175</v>
      </c>
      <c r="G45" s="8" t="s">
        <v>336</v>
      </c>
      <c r="H45" s="8" t="s">
        <v>337</v>
      </c>
      <c r="I45" s="8" t="s">
        <v>338</v>
      </c>
      <c r="J45" s="11" t="s">
        <v>162</v>
      </c>
      <c r="K45" s="11" t="s">
        <v>1</v>
      </c>
      <c r="L45" s="12" t="s">
        <v>1</v>
      </c>
      <c r="M45" s="11" t="s">
        <v>1</v>
      </c>
    </row>
    <row r="46" spans="1:13" s="2" customFormat="1" x14ac:dyDescent="0.25">
      <c r="A46" s="8" t="s">
        <v>339</v>
      </c>
      <c r="B46" s="8" t="s">
        <v>340</v>
      </c>
      <c r="C46" s="8" t="s">
        <v>62</v>
      </c>
      <c r="D46" s="8" t="s">
        <v>64</v>
      </c>
      <c r="E46" s="8" t="s">
        <v>157</v>
      </c>
      <c r="F46" s="10" t="s">
        <v>158</v>
      </c>
      <c r="G46" s="8" t="s">
        <v>341</v>
      </c>
      <c r="H46" s="8" t="s">
        <v>342</v>
      </c>
      <c r="I46" s="8" t="s">
        <v>343</v>
      </c>
      <c r="J46" s="11" t="s">
        <v>162</v>
      </c>
      <c r="K46" s="11" t="s">
        <v>1</v>
      </c>
      <c r="L46" s="12" t="s">
        <v>1</v>
      </c>
      <c r="M46" s="11" t="s">
        <v>1</v>
      </c>
    </row>
    <row r="47" spans="1:13" s="2" customFormat="1" x14ac:dyDescent="0.25">
      <c r="A47" s="8" t="s">
        <v>344</v>
      </c>
      <c r="B47" s="8" t="s">
        <v>340</v>
      </c>
      <c r="C47" s="8" t="s">
        <v>62</v>
      </c>
      <c r="D47" s="8" t="s">
        <v>64</v>
      </c>
      <c r="E47" s="8" t="s">
        <v>157</v>
      </c>
      <c r="F47" s="10" t="s">
        <v>158</v>
      </c>
      <c r="G47" s="8" t="s">
        <v>345</v>
      </c>
      <c r="H47" s="8" t="s">
        <v>346</v>
      </c>
      <c r="I47" s="8" t="s">
        <v>347</v>
      </c>
      <c r="J47" s="11" t="s">
        <v>162</v>
      </c>
      <c r="K47" s="11" t="s">
        <v>1</v>
      </c>
      <c r="L47" s="12" t="s">
        <v>1</v>
      </c>
      <c r="M47" s="11" t="s">
        <v>1</v>
      </c>
    </row>
    <row r="48" spans="1:13" s="2" customFormat="1" x14ac:dyDescent="0.25">
      <c r="A48" s="8" t="s">
        <v>348</v>
      </c>
      <c r="B48" s="8" t="s">
        <v>340</v>
      </c>
      <c r="C48" s="8" t="s">
        <v>62</v>
      </c>
      <c r="D48" s="8" t="s">
        <v>44</v>
      </c>
      <c r="E48" s="8" t="s">
        <v>313</v>
      </c>
      <c r="F48" s="10" t="s">
        <v>158</v>
      </c>
      <c r="G48" s="8" t="s">
        <v>349</v>
      </c>
      <c r="H48" s="8" t="s">
        <v>350</v>
      </c>
      <c r="I48" s="8" t="s">
        <v>351</v>
      </c>
      <c r="J48" s="11" t="s">
        <v>162</v>
      </c>
      <c r="K48" s="11" t="s">
        <v>1</v>
      </c>
      <c r="L48" s="12" t="s">
        <v>1</v>
      </c>
      <c r="M48" s="11" t="s">
        <v>1</v>
      </c>
    </row>
    <row r="49" spans="1:13" s="2" customFormat="1" x14ac:dyDescent="0.25">
      <c r="A49" s="8" t="s">
        <v>352</v>
      </c>
      <c r="B49" s="8" t="s">
        <v>340</v>
      </c>
      <c r="C49" s="8" t="s">
        <v>62</v>
      </c>
      <c r="D49" s="8" t="s">
        <v>44</v>
      </c>
      <c r="E49" s="8" t="s">
        <v>197</v>
      </c>
      <c r="F49" s="13" t="s">
        <v>175</v>
      </c>
      <c r="G49" s="8" t="s">
        <v>305</v>
      </c>
      <c r="H49" s="8" t="s">
        <v>353</v>
      </c>
      <c r="I49" s="8" t="s">
        <v>354</v>
      </c>
      <c r="J49" s="11" t="s">
        <v>162</v>
      </c>
      <c r="K49" s="11" t="s">
        <v>1</v>
      </c>
      <c r="L49" s="12" t="s">
        <v>1</v>
      </c>
      <c r="M49" s="11" t="s">
        <v>1</v>
      </c>
    </row>
    <row r="50" spans="1:13" s="2" customFormat="1" x14ac:dyDescent="0.25">
      <c r="A50" s="8" t="s">
        <v>355</v>
      </c>
      <c r="B50" s="8" t="s">
        <v>340</v>
      </c>
      <c r="C50" s="8" t="s">
        <v>62</v>
      </c>
      <c r="D50" s="8" t="s">
        <v>64</v>
      </c>
      <c r="E50" s="8" t="s">
        <v>197</v>
      </c>
      <c r="F50" s="13" t="s">
        <v>190</v>
      </c>
      <c r="G50" s="8" t="s">
        <v>356</v>
      </c>
      <c r="H50" s="8" t="s">
        <v>357</v>
      </c>
      <c r="I50" s="8" t="s">
        <v>358</v>
      </c>
      <c r="J50" s="11" t="s">
        <v>162</v>
      </c>
      <c r="K50" s="11" t="s">
        <v>1</v>
      </c>
      <c r="L50" s="12" t="s">
        <v>1</v>
      </c>
      <c r="M50" s="11" t="s">
        <v>1</v>
      </c>
    </row>
    <row r="51" spans="1:13" s="2" customFormat="1" x14ac:dyDescent="0.25">
      <c r="A51" s="8" t="s">
        <v>359</v>
      </c>
      <c r="B51" s="8" t="s">
        <v>360</v>
      </c>
      <c r="C51" s="8" t="s">
        <v>62</v>
      </c>
      <c r="D51" s="8" t="s">
        <v>64</v>
      </c>
      <c r="E51" s="8" t="s">
        <v>157</v>
      </c>
      <c r="F51" s="10" t="s">
        <v>158</v>
      </c>
      <c r="G51" s="8" t="s">
        <v>361</v>
      </c>
      <c r="H51" s="8" t="s">
        <v>362</v>
      </c>
      <c r="I51" s="8" t="s">
        <v>363</v>
      </c>
      <c r="J51" s="11" t="s">
        <v>162</v>
      </c>
      <c r="K51" s="11" t="s">
        <v>1</v>
      </c>
      <c r="L51" s="12" t="s">
        <v>1</v>
      </c>
      <c r="M51" s="11" t="s">
        <v>1</v>
      </c>
    </row>
    <row r="52" spans="1:13" s="2" customFormat="1" x14ac:dyDescent="0.25">
      <c r="A52" s="8" t="s">
        <v>364</v>
      </c>
      <c r="B52" s="8" t="s">
        <v>360</v>
      </c>
      <c r="C52" s="8" t="s">
        <v>62</v>
      </c>
      <c r="D52" s="8" t="s">
        <v>64</v>
      </c>
      <c r="E52" s="8" t="s">
        <v>157</v>
      </c>
      <c r="F52" s="10" t="s">
        <v>158</v>
      </c>
      <c r="G52" s="8" t="s">
        <v>365</v>
      </c>
      <c r="H52" s="8" t="s">
        <v>366</v>
      </c>
      <c r="I52" s="8" t="s">
        <v>367</v>
      </c>
      <c r="J52" s="11" t="s">
        <v>162</v>
      </c>
      <c r="K52" s="11" t="s">
        <v>1</v>
      </c>
      <c r="L52" s="12" t="s">
        <v>1</v>
      </c>
      <c r="M52" s="11" t="s">
        <v>1</v>
      </c>
    </row>
    <row r="53" spans="1:13" s="2" customFormat="1" x14ac:dyDescent="0.25">
      <c r="A53" s="8" t="s">
        <v>368</v>
      </c>
      <c r="B53" s="8" t="s">
        <v>360</v>
      </c>
      <c r="C53" s="8" t="s">
        <v>62</v>
      </c>
      <c r="D53" s="8" t="s">
        <v>64</v>
      </c>
      <c r="E53" s="8" t="s">
        <v>216</v>
      </c>
      <c r="F53" s="13" t="s">
        <v>175</v>
      </c>
      <c r="G53" s="8" t="s">
        <v>369</v>
      </c>
      <c r="H53" s="8" t="s">
        <v>370</v>
      </c>
      <c r="I53" s="8" t="s">
        <v>371</v>
      </c>
      <c r="J53" s="11" t="s">
        <v>162</v>
      </c>
      <c r="K53" s="11" t="s">
        <v>1</v>
      </c>
      <c r="L53" s="12" t="s">
        <v>1</v>
      </c>
      <c r="M53" s="11" t="s">
        <v>1</v>
      </c>
    </row>
    <row r="54" spans="1:13" s="2" customFormat="1" x14ac:dyDescent="0.25">
      <c r="A54" s="8" t="s">
        <v>372</v>
      </c>
      <c r="B54" s="8" t="s">
        <v>360</v>
      </c>
      <c r="C54" s="8" t="s">
        <v>50</v>
      </c>
      <c r="D54" s="8" t="s">
        <v>44</v>
      </c>
      <c r="E54" s="8" t="s">
        <v>157</v>
      </c>
      <c r="F54" s="10" t="s">
        <v>158</v>
      </c>
      <c r="G54" s="8" t="s">
        <v>373</v>
      </c>
      <c r="H54" s="8" t="s">
        <v>374</v>
      </c>
      <c r="I54" s="8" t="s">
        <v>375</v>
      </c>
      <c r="J54" s="11" t="s">
        <v>162</v>
      </c>
      <c r="K54" s="11" t="s">
        <v>1</v>
      </c>
      <c r="L54" s="12" t="s">
        <v>1</v>
      </c>
      <c r="M54" s="11" t="s">
        <v>1</v>
      </c>
    </row>
    <row r="55" spans="1:13" s="2" customFormat="1" x14ac:dyDescent="0.25">
      <c r="A55" s="8" t="s">
        <v>376</v>
      </c>
      <c r="B55" s="8" t="s">
        <v>360</v>
      </c>
      <c r="C55" s="8" t="s">
        <v>62</v>
      </c>
      <c r="D55" s="8" t="s">
        <v>64</v>
      </c>
      <c r="E55" s="8" t="s">
        <v>313</v>
      </c>
      <c r="F55" s="10" t="s">
        <v>158</v>
      </c>
      <c r="G55" s="8" t="s">
        <v>377</v>
      </c>
      <c r="H55" s="8" t="s">
        <v>378</v>
      </c>
      <c r="I55" s="8" t="s">
        <v>379</v>
      </c>
      <c r="J55" s="11" t="s">
        <v>162</v>
      </c>
      <c r="K55" s="11" t="s">
        <v>1</v>
      </c>
      <c r="L55" s="12" t="s">
        <v>1</v>
      </c>
      <c r="M55" s="11" t="s">
        <v>1</v>
      </c>
    </row>
    <row r="56" spans="1:13" s="2" customFormat="1" x14ac:dyDescent="0.25">
      <c r="A56" s="8" t="s">
        <v>380</v>
      </c>
      <c r="B56" s="8" t="s">
        <v>360</v>
      </c>
      <c r="C56" s="8" t="s">
        <v>62</v>
      </c>
      <c r="D56" s="8" t="s">
        <v>64</v>
      </c>
      <c r="E56" s="8" t="s">
        <v>157</v>
      </c>
      <c r="F56" s="13" t="s">
        <v>175</v>
      </c>
      <c r="G56" s="8" t="s">
        <v>381</v>
      </c>
      <c r="H56" s="8" t="s">
        <v>382</v>
      </c>
      <c r="I56" s="8" t="s">
        <v>383</v>
      </c>
      <c r="J56" s="11" t="s">
        <v>162</v>
      </c>
      <c r="K56" s="11" t="s">
        <v>1</v>
      </c>
      <c r="L56" s="12" t="s">
        <v>1</v>
      </c>
      <c r="M56" s="11" t="s">
        <v>1</v>
      </c>
    </row>
    <row r="57" spans="1:13" s="2" customFormat="1" x14ac:dyDescent="0.25">
      <c r="A57" s="8" t="s">
        <v>384</v>
      </c>
      <c r="B57" s="8" t="s">
        <v>360</v>
      </c>
      <c r="C57" s="8" t="s">
        <v>70</v>
      </c>
      <c r="D57" s="8" t="s">
        <v>64</v>
      </c>
      <c r="E57" s="8" t="s">
        <v>157</v>
      </c>
      <c r="F57" s="13" t="s">
        <v>175</v>
      </c>
      <c r="G57" s="8" t="s">
        <v>385</v>
      </c>
      <c r="H57" s="8" t="s">
        <v>386</v>
      </c>
      <c r="I57" s="8" t="s">
        <v>387</v>
      </c>
      <c r="J57" s="11" t="s">
        <v>162</v>
      </c>
      <c r="K57" s="11" t="s">
        <v>1</v>
      </c>
      <c r="L57" s="12" t="s">
        <v>1</v>
      </c>
      <c r="M57" s="11" t="s">
        <v>1</v>
      </c>
    </row>
    <row r="58" spans="1:13" s="2" customFormat="1" x14ac:dyDescent="0.25">
      <c r="A58" s="8" t="s">
        <v>388</v>
      </c>
      <c r="B58" s="8" t="s">
        <v>360</v>
      </c>
      <c r="C58" s="8" t="s">
        <v>62</v>
      </c>
      <c r="D58" s="8" t="s">
        <v>64</v>
      </c>
      <c r="E58" s="8" t="s">
        <v>157</v>
      </c>
      <c r="F58" s="13" t="s">
        <v>175</v>
      </c>
      <c r="G58" s="8" t="s">
        <v>389</v>
      </c>
      <c r="H58" s="8" t="s">
        <v>390</v>
      </c>
      <c r="I58" s="8" t="s">
        <v>391</v>
      </c>
      <c r="J58" s="11" t="s">
        <v>162</v>
      </c>
      <c r="K58" s="11" t="s">
        <v>1</v>
      </c>
      <c r="L58" s="12" t="s">
        <v>1</v>
      </c>
      <c r="M58" s="11" t="s">
        <v>1</v>
      </c>
    </row>
    <row r="59" spans="1:13" s="2" customFormat="1" x14ac:dyDescent="0.25">
      <c r="A59" s="8" t="s">
        <v>392</v>
      </c>
      <c r="B59" s="8" t="s">
        <v>393</v>
      </c>
      <c r="C59" s="8" t="s">
        <v>76</v>
      </c>
      <c r="D59" s="8" t="s">
        <v>77</v>
      </c>
      <c r="E59" s="8" t="s">
        <v>157</v>
      </c>
      <c r="F59" s="10" t="s">
        <v>158</v>
      </c>
      <c r="G59" s="8" t="s">
        <v>394</v>
      </c>
      <c r="H59" s="8" t="s">
        <v>395</v>
      </c>
      <c r="I59" s="8" t="s">
        <v>396</v>
      </c>
      <c r="J59" s="11" t="s">
        <v>162</v>
      </c>
      <c r="K59" s="11" t="s">
        <v>1</v>
      </c>
      <c r="L59" s="12" t="s">
        <v>1</v>
      </c>
      <c r="M59" s="11" t="s">
        <v>1</v>
      </c>
    </row>
    <row r="60" spans="1:13" s="2" customFormat="1" x14ac:dyDescent="0.25">
      <c r="A60" s="8" t="s">
        <v>397</v>
      </c>
      <c r="B60" s="8" t="s">
        <v>393</v>
      </c>
      <c r="C60" s="8" t="s">
        <v>76</v>
      </c>
      <c r="D60" s="8" t="s">
        <v>77</v>
      </c>
      <c r="E60" s="8" t="s">
        <v>157</v>
      </c>
      <c r="F60" s="10" t="s">
        <v>158</v>
      </c>
      <c r="G60" s="8" t="s">
        <v>394</v>
      </c>
      <c r="H60" s="8" t="s">
        <v>398</v>
      </c>
      <c r="I60" s="8" t="s">
        <v>399</v>
      </c>
      <c r="J60" s="11" t="s">
        <v>162</v>
      </c>
      <c r="K60" s="11" t="s">
        <v>1</v>
      </c>
      <c r="L60" s="12" t="s">
        <v>1</v>
      </c>
      <c r="M60" s="11" t="s">
        <v>1</v>
      </c>
    </row>
    <row r="61" spans="1:13" s="2" customFormat="1" x14ac:dyDescent="0.25">
      <c r="A61" s="8" t="s">
        <v>400</v>
      </c>
      <c r="B61" s="8" t="s">
        <v>393</v>
      </c>
      <c r="C61" s="8" t="s">
        <v>76</v>
      </c>
      <c r="D61" s="8" t="s">
        <v>77</v>
      </c>
      <c r="E61" s="8" t="s">
        <v>216</v>
      </c>
      <c r="F61" s="10" t="s">
        <v>158</v>
      </c>
      <c r="G61" s="8" t="s">
        <v>401</v>
      </c>
      <c r="H61" s="8" t="s">
        <v>402</v>
      </c>
      <c r="I61" s="8" t="s">
        <v>403</v>
      </c>
      <c r="J61" s="11" t="s">
        <v>162</v>
      </c>
      <c r="K61" s="11" t="s">
        <v>1</v>
      </c>
      <c r="L61" s="12" t="s">
        <v>1</v>
      </c>
      <c r="M61" s="11" t="s">
        <v>1</v>
      </c>
    </row>
    <row r="62" spans="1:13" s="2" customFormat="1" x14ac:dyDescent="0.25">
      <c r="A62" s="8" t="s">
        <v>404</v>
      </c>
      <c r="B62" s="8" t="s">
        <v>393</v>
      </c>
      <c r="C62" s="8" t="s">
        <v>76</v>
      </c>
      <c r="D62" s="8" t="s">
        <v>77</v>
      </c>
      <c r="E62" s="8" t="s">
        <v>157</v>
      </c>
      <c r="F62" s="13" t="s">
        <v>175</v>
      </c>
      <c r="G62" s="8" t="s">
        <v>394</v>
      </c>
      <c r="H62" s="8" t="s">
        <v>405</v>
      </c>
      <c r="I62" s="8" t="s">
        <v>406</v>
      </c>
      <c r="J62" s="11" t="s">
        <v>162</v>
      </c>
      <c r="K62" s="11" t="s">
        <v>1</v>
      </c>
      <c r="L62" s="12" t="s">
        <v>1</v>
      </c>
      <c r="M62" s="11" t="s">
        <v>1</v>
      </c>
    </row>
    <row r="63" spans="1:13" s="2" customFormat="1" x14ac:dyDescent="0.25">
      <c r="A63" s="8" t="s">
        <v>407</v>
      </c>
      <c r="B63" s="8" t="s">
        <v>393</v>
      </c>
      <c r="C63" s="8" t="s">
        <v>76</v>
      </c>
      <c r="D63" s="8" t="s">
        <v>77</v>
      </c>
      <c r="E63" s="8" t="s">
        <v>157</v>
      </c>
      <c r="F63" s="13" t="s">
        <v>175</v>
      </c>
      <c r="G63" s="8" t="s">
        <v>394</v>
      </c>
      <c r="H63" s="8" t="s">
        <v>408</v>
      </c>
      <c r="I63" s="8" t="s">
        <v>409</v>
      </c>
      <c r="J63" s="11" t="s">
        <v>162</v>
      </c>
      <c r="K63" s="11" t="s">
        <v>1</v>
      </c>
      <c r="L63" s="12" t="s">
        <v>1</v>
      </c>
      <c r="M63" s="11" t="s">
        <v>1</v>
      </c>
    </row>
    <row r="64" spans="1:13" s="2" customFormat="1" x14ac:dyDescent="0.25">
      <c r="A64" s="8" t="s">
        <v>410</v>
      </c>
      <c r="B64" s="8" t="s">
        <v>393</v>
      </c>
      <c r="C64" s="8" t="s">
        <v>76</v>
      </c>
      <c r="D64" s="8" t="s">
        <v>77</v>
      </c>
      <c r="E64" s="8" t="s">
        <v>157</v>
      </c>
      <c r="F64" s="13" t="s">
        <v>175</v>
      </c>
      <c r="G64" s="8" t="s">
        <v>411</v>
      </c>
      <c r="H64" s="8" t="s">
        <v>412</v>
      </c>
      <c r="I64" s="8" t="s">
        <v>413</v>
      </c>
      <c r="J64" s="11" t="s">
        <v>162</v>
      </c>
      <c r="K64" s="11" t="s">
        <v>1</v>
      </c>
      <c r="L64" s="12" t="s">
        <v>1</v>
      </c>
      <c r="M64" s="11" t="s">
        <v>1</v>
      </c>
    </row>
    <row r="65" spans="1:13" s="2" customFormat="1" x14ac:dyDescent="0.25">
      <c r="A65" s="8" t="s">
        <v>414</v>
      </c>
      <c r="B65" s="8" t="s">
        <v>393</v>
      </c>
      <c r="C65" s="8" t="s">
        <v>76</v>
      </c>
      <c r="D65" s="8" t="s">
        <v>77</v>
      </c>
      <c r="E65" s="8" t="s">
        <v>157</v>
      </c>
      <c r="F65" s="13" t="s">
        <v>175</v>
      </c>
      <c r="G65" s="8" t="s">
        <v>415</v>
      </c>
      <c r="H65" s="8" t="s">
        <v>416</v>
      </c>
      <c r="I65" s="8" t="s">
        <v>417</v>
      </c>
      <c r="J65" s="11" t="s">
        <v>162</v>
      </c>
      <c r="K65" s="11" t="s">
        <v>1</v>
      </c>
      <c r="L65" s="12" t="s">
        <v>1</v>
      </c>
      <c r="M65" s="11" t="s">
        <v>1</v>
      </c>
    </row>
    <row r="66" spans="1:13" s="2" customFormat="1" x14ac:dyDescent="0.25">
      <c r="A66" s="8" t="s">
        <v>418</v>
      </c>
      <c r="B66" s="8" t="s">
        <v>393</v>
      </c>
      <c r="C66" s="8" t="s">
        <v>76</v>
      </c>
      <c r="D66" s="8" t="s">
        <v>77</v>
      </c>
      <c r="E66" s="8" t="s">
        <v>313</v>
      </c>
      <c r="F66" s="10" t="s">
        <v>158</v>
      </c>
      <c r="G66" s="8" t="s">
        <v>419</v>
      </c>
      <c r="H66" s="8" t="s">
        <v>420</v>
      </c>
      <c r="I66" s="8" t="s">
        <v>421</v>
      </c>
      <c r="J66" s="11" t="s">
        <v>162</v>
      </c>
      <c r="K66" s="11" t="s">
        <v>1</v>
      </c>
      <c r="L66" s="12" t="s">
        <v>1</v>
      </c>
      <c r="M66" s="11" t="s">
        <v>1</v>
      </c>
    </row>
    <row r="67" spans="1:13" s="2" customFormat="1" x14ac:dyDescent="0.25">
      <c r="A67" s="8" t="s">
        <v>422</v>
      </c>
      <c r="B67" s="8" t="s">
        <v>393</v>
      </c>
      <c r="C67" s="8" t="s">
        <v>76</v>
      </c>
      <c r="D67" s="8" t="s">
        <v>44</v>
      </c>
      <c r="E67" s="8" t="s">
        <v>313</v>
      </c>
      <c r="F67" s="10" t="s">
        <v>158</v>
      </c>
      <c r="G67" s="8" t="s">
        <v>250</v>
      </c>
      <c r="H67" s="8" t="s">
        <v>423</v>
      </c>
      <c r="I67" s="8" t="s">
        <v>424</v>
      </c>
      <c r="J67" s="11" t="s">
        <v>162</v>
      </c>
      <c r="K67" s="11" t="s">
        <v>1</v>
      </c>
      <c r="L67" s="12" t="s">
        <v>1</v>
      </c>
      <c r="M67" s="11" t="s">
        <v>1</v>
      </c>
    </row>
    <row r="68" spans="1:13" s="2" customFormat="1" x14ac:dyDescent="0.25">
      <c r="A68" s="8" t="s">
        <v>425</v>
      </c>
      <c r="B68" s="8" t="s">
        <v>84</v>
      </c>
      <c r="C68" s="8" t="s">
        <v>83</v>
      </c>
      <c r="D68" s="8" t="s">
        <v>85</v>
      </c>
      <c r="E68" s="8" t="s">
        <v>157</v>
      </c>
      <c r="F68" s="10" t="s">
        <v>158</v>
      </c>
      <c r="G68" s="8" t="s">
        <v>426</v>
      </c>
      <c r="H68" s="8" t="s">
        <v>427</v>
      </c>
      <c r="I68" s="8" t="s">
        <v>428</v>
      </c>
      <c r="J68" s="11" t="s">
        <v>162</v>
      </c>
      <c r="K68" s="11" t="s">
        <v>1</v>
      </c>
      <c r="L68" s="12" t="s">
        <v>1</v>
      </c>
      <c r="M68" s="11" t="s">
        <v>1</v>
      </c>
    </row>
    <row r="69" spans="1:13" s="2" customFormat="1" x14ac:dyDescent="0.25">
      <c r="A69" s="8" t="s">
        <v>429</v>
      </c>
      <c r="B69" s="8" t="s">
        <v>84</v>
      </c>
      <c r="C69" s="8" t="s">
        <v>83</v>
      </c>
      <c r="D69" s="8" t="s">
        <v>85</v>
      </c>
      <c r="E69" s="8" t="s">
        <v>157</v>
      </c>
      <c r="F69" s="10" t="s">
        <v>158</v>
      </c>
      <c r="G69" s="8" t="s">
        <v>430</v>
      </c>
      <c r="H69" s="8" t="s">
        <v>431</v>
      </c>
      <c r="I69" s="8" t="s">
        <v>432</v>
      </c>
      <c r="J69" s="11" t="s">
        <v>162</v>
      </c>
      <c r="K69" s="11" t="s">
        <v>1</v>
      </c>
      <c r="L69" s="12" t="s">
        <v>1</v>
      </c>
      <c r="M69" s="11" t="s">
        <v>1</v>
      </c>
    </row>
    <row r="70" spans="1:13" s="2" customFormat="1" x14ac:dyDescent="0.25">
      <c r="A70" s="8" t="s">
        <v>433</v>
      </c>
      <c r="B70" s="8" t="s">
        <v>84</v>
      </c>
      <c r="C70" s="8" t="s">
        <v>83</v>
      </c>
      <c r="D70" s="8" t="s">
        <v>85</v>
      </c>
      <c r="E70" s="8" t="s">
        <v>216</v>
      </c>
      <c r="F70" s="10" t="s">
        <v>158</v>
      </c>
      <c r="G70" s="8" t="s">
        <v>434</v>
      </c>
      <c r="H70" s="8" t="s">
        <v>435</v>
      </c>
      <c r="I70" s="8" t="s">
        <v>436</v>
      </c>
      <c r="J70" s="11" t="s">
        <v>162</v>
      </c>
      <c r="K70" s="11" t="s">
        <v>1</v>
      </c>
      <c r="L70" s="12" t="s">
        <v>1</v>
      </c>
      <c r="M70" s="11" t="s">
        <v>1</v>
      </c>
    </row>
    <row r="71" spans="1:13" s="2" customFormat="1" x14ac:dyDescent="0.25">
      <c r="A71" s="8" t="s">
        <v>437</v>
      </c>
      <c r="B71" s="8" t="s">
        <v>84</v>
      </c>
      <c r="C71" s="8" t="s">
        <v>83</v>
      </c>
      <c r="D71" s="8" t="s">
        <v>85</v>
      </c>
      <c r="E71" s="8" t="s">
        <v>157</v>
      </c>
      <c r="F71" s="13" t="s">
        <v>175</v>
      </c>
      <c r="G71" s="8" t="s">
        <v>438</v>
      </c>
      <c r="H71" s="8" t="s">
        <v>439</v>
      </c>
      <c r="I71" s="8" t="s">
        <v>440</v>
      </c>
      <c r="J71" s="11" t="s">
        <v>162</v>
      </c>
      <c r="K71" s="11" t="s">
        <v>1</v>
      </c>
      <c r="L71" s="12" t="s">
        <v>1</v>
      </c>
      <c r="M71" s="11" t="s">
        <v>1</v>
      </c>
    </row>
    <row r="72" spans="1:13" s="2" customFormat="1" x14ac:dyDescent="0.25">
      <c r="A72" s="8" t="s">
        <v>441</v>
      </c>
      <c r="B72" s="8" t="s">
        <v>84</v>
      </c>
      <c r="C72" s="8" t="s">
        <v>83</v>
      </c>
      <c r="D72" s="8" t="s">
        <v>85</v>
      </c>
      <c r="E72" s="8" t="s">
        <v>157</v>
      </c>
      <c r="F72" s="13" t="s">
        <v>175</v>
      </c>
      <c r="G72" s="8" t="s">
        <v>442</v>
      </c>
      <c r="H72" s="8" t="s">
        <v>443</v>
      </c>
      <c r="I72" s="8" t="s">
        <v>444</v>
      </c>
      <c r="J72" s="11" t="s">
        <v>162</v>
      </c>
      <c r="K72" s="11" t="s">
        <v>1</v>
      </c>
      <c r="L72" s="12" t="s">
        <v>1</v>
      </c>
      <c r="M72" s="11" t="s">
        <v>1</v>
      </c>
    </row>
    <row r="73" spans="1:13" s="2" customFormat="1" x14ac:dyDescent="0.25">
      <c r="A73" s="8" t="s">
        <v>445</v>
      </c>
      <c r="B73" s="8" t="s">
        <v>84</v>
      </c>
      <c r="C73" s="8" t="s">
        <v>83</v>
      </c>
      <c r="D73" s="8" t="s">
        <v>85</v>
      </c>
      <c r="E73" s="8" t="s">
        <v>313</v>
      </c>
      <c r="F73" s="10" t="s">
        <v>158</v>
      </c>
      <c r="G73" s="8" t="s">
        <v>446</v>
      </c>
      <c r="H73" s="8" t="s">
        <v>447</v>
      </c>
      <c r="I73" s="8" t="s">
        <v>448</v>
      </c>
      <c r="J73" s="11" t="s">
        <v>162</v>
      </c>
      <c r="K73" s="11" t="s">
        <v>1</v>
      </c>
      <c r="L73" s="12" t="s">
        <v>1</v>
      </c>
      <c r="M73" s="11" t="s">
        <v>1</v>
      </c>
    </row>
    <row r="74" spans="1:13" s="2" customFormat="1" x14ac:dyDescent="0.25">
      <c r="A74" s="8" t="s">
        <v>449</v>
      </c>
      <c r="B74" s="8" t="s">
        <v>84</v>
      </c>
      <c r="C74" s="8" t="s">
        <v>83</v>
      </c>
      <c r="D74" s="8" t="s">
        <v>101</v>
      </c>
      <c r="E74" s="8" t="s">
        <v>313</v>
      </c>
      <c r="F74" s="10" t="s">
        <v>158</v>
      </c>
      <c r="G74" s="8" t="s">
        <v>450</v>
      </c>
      <c r="H74" s="8" t="s">
        <v>451</v>
      </c>
      <c r="I74" s="8" t="s">
        <v>452</v>
      </c>
      <c r="J74" s="11" t="s">
        <v>162</v>
      </c>
      <c r="K74" s="11" t="s">
        <v>1</v>
      </c>
      <c r="L74" s="12" t="s">
        <v>1</v>
      </c>
      <c r="M74" s="11" t="s">
        <v>1</v>
      </c>
    </row>
    <row r="75" spans="1:13" s="2" customFormat="1" x14ac:dyDescent="0.25">
      <c r="A75" s="8" t="s">
        <v>453</v>
      </c>
      <c r="B75" s="8" t="s">
        <v>84</v>
      </c>
      <c r="C75" s="8" t="s">
        <v>107</v>
      </c>
      <c r="D75" s="8" t="s">
        <v>101</v>
      </c>
      <c r="E75" s="8" t="s">
        <v>157</v>
      </c>
      <c r="F75" s="13" t="s">
        <v>190</v>
      </c>
      <c r="G75" s="8" t="s">
        <v>454</v>
      </c>
      <c r="H75" s="8" t="s">
        <v>455</v>
      </c>
      <c r="I75" s="8" t="s">
        <v>456</v>
      </c>
      <c r="J75" s="11" t="s">
        <v>162</v>
      </c>
      <c r="K75" s="11" t="s">
        <v>1</v>
      </c>
      <c r="L75" s="12" t="s">
        <v>1</v>
      </c>
      <c r="M75" s="11" t="s">
        <v>1</v>
      </c>
    </row>
    <row r="76" spans="1:13" s="2" customFormat="1" x14ac:dyDescent="0.25">
      <c r="A76" s="8" t="s">
        <v>457</v>
      </c>
      <c r="B76" s="8" t="s">
        <v>92</v>
      </c>
      <c r="C76" s="8" t="s">
        <v>91</v>
      </c>
      <c r="D76" s="8" t="s">
        <v>64</v>
      </c>
      <c r="E76" s="8" t="s">
        <v>157</v>
      </c>
      <c r="F76" s="10" t="s">
        <v>158</v>
      </c>
      <c r="G76" s="8" t="s">
        <v>458</v>
      </c>
      <c r="H76" s="8" t="s">
        <v>459</v>
      </c>
      <c r="I76" s="8" t="s">
        <v>460</v>
      </c>
      <c r="J76" s="11" t="s">
        <v>162</v>
      </c>
      <c r="K76" s="11" t="s">
        <v>1</v>
      </c>
      <c r="L76" s="12" t="s">
        <v>1</v>
      </c>
      <c r="M76" s="11" t="s">
        <v>1</v>
      </c>
    </row>
    <row r="77" spans="1:13" s="2" customFormat="1" x14ac:dyDescent="0.25">
      <c r="A77" s="8" t="s">
        <v>461</v>
      </c>
      <c r="B77" s="8" t="s">
        <v>92</v>
      </c>
      <c r="C77" s="8" t="s">
        <v>91</v>
      </c>
      <c r="D77" s="8" t="s">
        <v>64</v>
      </c>
      <c r="E77" s="8" t="s">
        <v>157</v>
      </c>
      <c r="F77" s="13" t="s">
        <v>175</v>
      </c>
      <c r="G77" s="8" t="s">
        <v>462</v>
      </c>
      <c r="H77" s="8" t="s">
        <v>463</v>
      </c>
      <c r="I77" s="8" t="s">
        <v>464</v>
      </c>
      <c r="J77" s="11" t="s">
        <v>162</v>
      </c>
      <c r="K77" s="11" t="s">
        <v>1</v>
      </c>
      <c r="L77" s="12" t="s">
        <v>1</v>
      </c>
      <c r="M77" s="11" t="s">
        <v>1</v>
      </c>
    </row>
    <row r="78" spans="1:13" s="2" customFormat="1" x14ac:dyDescent="0.25">
      <c r="A78" s="8" t="s">
        <v>465</v>
      </c>
      <c r="B78" s="8" t="s">
        <v>92</v>
      </c>
      <c r="C78" s="8" t="s">
        <v>91</v>
      </c>
      <c r="D78" s="8" t="s">
        <v>64</v>
      </c>
      <c r="E78" s="8" t="s">
        <v>216</v>
      </c>
      <c r="F78" s="13" t="s">
        <v>175</v>
      </c>
      <c r="G78" s="8" t="s">
        <v>466</v>
      </c>
      <c r="H78" s="8" t="s">
        <v>467</v>
      </c>
      <c r="I78" s="8" t="s">
        <v>468</v>
      </c>
      <c r="J78" s="11" t="s">
        <v>162</v>
      </c>
      <c r="K78" s="11" t="s">
        <v>1</v>
      </c>
      <c r="L78" s="12" t="s">
        <v>1</v>
      </c>
      <c r="M78" s="11" t="s">
        <v>1</v>
      </c>
    </row>
    <row r="79" spans="1:13" s="2" customFormat="1" x14ac:dyDescent="0.25">
      <c r="A79" s="8" t="s">
        <v>469</v>
      </c>
      <c r="B79" s="8" t="s">
        <v>92</v>
      </c>
      <c r="C79" s="8" t="s">
        <v>91</v>
      </c>
      <c r="D79" s="8" t="s">
        <v>64</v>
      </c>
      <c r="E79" s="8" t="s">
        <v>157</v>
      </c>
      <c r="F79" s="13" t="s">
        <v>175</v>
      </c>
      <c r="G79" s="8" t="s">
        <v>470</v>
      </c>
      <c r="H79" s="8" t="s">
        <v>471</v>
      </c>
      <c r="I79" s="8" t="s">
        <v>472</v>
      </c>
      <c r="J79" s="11" t="s">
        <v>162</v>
      </c>
      <c r="K79" s="11" t="s">
        <v>1</v>
      </c>
      <c r="L79" s="12" t="s">
        <v>1</v>
      </c>
      <c r="M79" s="11" t="s">
        <v>1</v>
      </c>
    </row>
    <row r="80" spans="1:13" s="2" customFormat="1" x14ac:dyDescent="0.25">
      <c r="A80" s="8" t="s">
        <v>473</v>
      </c>
      <c r="B80" s="8" t="s">
        <v>92</v>
      </c>
      <c r="C80" s="8" t="s">
        <v>91</v>
      </c>
      <c r="D80" s="8" t="s">
        <v>44</v>
      </c>
      <c r="E80" s="8" t="s">
        <v>313</v>
      </c>
      <c r="F80" s="10" t="s">
        <v>158</v>
      </c>
      <c r="G80" s="8" t="s">
        <v>474</v>
      </c>
      <c r="H80" s="8" t="s">
        <v>475</v>
      </c>
      <c r="I80" s="8" t="s">
        <v>476</v>
      </c>
      <c r="J80" s="11" t="s">
        <v>162</v>
      </c>
      <c r="K80" s="11" t="s">
        <v>1</v>
      </c>
      <c r="L80" s="12" t="s">
        <v>1</v>
      </c>
      <c r="M80" s="11" t="s">
        <v>1</v>
      </c>
    </row>
    <row r="81" spans="1:13" s="2" customFormat="1" x14ac:dyDescent="0.25">
      <c r="A81" s="8" t="s">
        <v>477</v>
      </c>
      <c r="B81" s="8" t="s">
        <v>92</v>
      </c>
      <c r="C81" s="8" t="s">
        <v>91</v>
      </c>
      <c r="D81" s="8" t="s">
        <v>64</v>
      </c>
      <c r="E81" s="8" t="s">
        <v>197</v>
      </c>
      <c r="F81" s="13" t="s">
        <v>190</v>
      </c>
      <c r="G81" s="8" t="s">
        <v>478</v>
      </c>
      <c r="H81" s="8" t="s">
        <v>479</v>
      </c>
      <c r="I81" s="8" t="s">
        <v>480</v>
      </c>
      <c r="J81" s="11" t="s">
        <v>162</v>
      </c>
      <c r="K81" s="11" t="s">
        <v>1</v>
      </c>
      <c r="L81" s="12" t="s">
        <v>1</v>
      </c>
      <c r="M81" s="11" t="s">
        <v>1</v>
      </c>
    </row>
    <row r="82" spans="1:13" s="2" customFormat="1" x14ac:dyDescent="0.25">
      <c r="A82" s="8" t="s">
        <v>481</v>
      </c>
      <c r="B82" s="8" t="s">
        <v>482</v>
      </c>
      <c r="C82" s="8" t="s">
        <v>125</v>
      </c>
      <c r="D82" s="8" t="s">
        <v>64</v>
      </c>
      <c r="E82" s="8" t="s">
        <v>157</v>
      </c>
      <c r="F82" s="10" t="s">
        <v>158</v>
      </c>
      <c r="G82" s="8" t="s">
        <v>483</v>
      </c>
      <c r="H82" s="8" t="s">
        <v>484</v>
      </c>
      <c r="I82" s="8" t="s">
        <v>485</v>
      </c>
      <c r="J82" s="11" t="s">
        <v>162</v>
      </c>
      <c r="K82" s="11" t="s">
        <v>1</v>
      </c>
      <c r="L82" s="12" t="s">
        <v>1</v>
      </c>
      <c r="M82" s="11" t="s">
        <v>1</v>
      </c>
    </row>
    <row r="83" spans="1:13" s="2" customFormat="1" x14ac:dyDescent="0.25">
      <c r="A83" s="8" t="s">
        <v>486</v>
      </c>
      <c r="B83" s="8" t="s">
        <v>482</v>
      </c>
      <c r="C83" s="8" t="s">
        <v>125</v>
      </c>
      <c r="D83" s="8" t="s">
        <v>64</v>
      </c>
      <c r="E83" s="8" t="s">
        <v>157</v>
      </c>
      <c r="F83" s="13" t="s">
        <v>175</v>
      </c>
      <c r="G83" s="8" t="s">
        <v>487</v>
      </c>
      <c r="H83" s="8" t="s">
        <v>488</v>
      </c>
      <c r="I83" s="8" t="s">
        <v>489</v>
      </c>
      <c r="J83" s="11" t="s">
        <v>162</v>
      </c>
      <c r="K83" s="11" t="s">
        <v>1</v>
      </c>
      <c r="L83" s="12" t="s">
        <v>1</v>
      </c>
      <c r="M83" s="11" t="s">
        <v>1</v>
      </c>
    </row>
    <row r="84" spans="1:13" s="2" customFormat="1" x14ac:dyDescent="0.25">
      <c r="A84" s="8" t="s">
        <v>490</v>
      </c>
      <c r="B84" s="8" t="s">
        <v>482</v>
      </c>
      <c r="C84" s="8" t="s">
        <v>125</v>
      </c>
      <c r="D84" s="8" t="s">
        <v>156</v>
      </c>
      <c r="E84" s="8" t="s">
        <v>197</v>
      </c>
      <c r="F84" s="13" t="s">
        <v>190</v>
      </c>
      <c r="G84" s="8" t="s">
        <v>491</v>
      </c>
      <c r="H84" s="8" t="s">
        <v>492</v>
      </c>
      <c r="I84" s="8" t="s">
        <v>493</v>
      </c>
      <c r="J84" s="11" t="s">
        <v>162</v>
      </c>
      <c r="K84" s="11" t="s">
        <v>1</v>
      </c>
      <c r="L84" s="12" t="s">
        <v>1</v>
      </c>
      <c r="M84" s="11" t="s">
        <v>1</v>
      </c>
    </row>
    <row r="85" spans="1:13" s="2" customFormat="1" x14ac:dyDescent="0.25">
      <c r="A85" s="8" t="s">
        <v>494</v>
      </c>
      <c r="B85" s="8" t="s">
        <v>126</v>
      </c>
      <c r="C85" s="8" t="s">
        <v>125</v>
      </c>
      <c r="D85" s="8" t="s">
        <v>44</v>
      </c>
      <c r="E85" s="8" t="s">
        <v>157</v>
      </c>
      <c r="F85" s="10" t="s">
        <v>158</v>
      </c>
      <c r="G85" s="8" t="s">
        <v>495</v>
      </c>
      <c r="H85" s="8" t="s">
        <v>496</v>
      </c>
      <c r="I85" s="8" t="s">
        <v>497</v>
      </c>
      <c r="J85" s="11" t="s">
        <v>162</v>
      </c>
      <c r="K85" s="11" t="s">
        <v>1</v>
      </c>
      <c r="L85" s="12" t="s">
        <v>1</v>
      </c>
      <c r="M85" s="11" t="s">
        <v>1</v>
      </c>
    </row>
    <row r="86" spans="1:13" s="2" customFormat="1" x14ac:dyDescent="0.25">
      <c r="A86" s="8" t="s">
        <v>498</v>
      </c>
      <c r="B86" s="8" t="s">
        <v>499</v>
      </c>
      <c r="C86" s="8" t="s">
        <v>125</v>
      </c>
      <c r="D86" s="8" t="s">
        <v>101</v>
      </c>
      <c r="E86" s="8" t="s">
        <v>157</v>
      </c>
      <c r="F86" s="10" t="s">
        <v>158</v>
      </c>
      <c r="G86" s="8" t="s">
        <v>500</v>
      </c>
      <c r="H86" s="8" t="s">
        <v>501</v>
      </c>
      <c r="I86" s="8" t="s">
        <v>502</v>
      </c>
      <c r="J86" s="11" t="s">
        <v>162</v>
      </c>
      <c r="K86" s="11" t="s">
        <v>1</v>
      </c>
      <c r="L86" s="12" t="s">
        <v>1</v>
      </c>
      <c r="M86" s="11" t="s">
        <v>1</v>
      </c>
    </row>
    <row r="87" spans="1:13" s="2" customFormat="1" x14ac:dyDescent="0.25">
      <c r="A87" s="8" t="s">
        <v>503</v>
      </c>
      <c r="B87" s="8" t="s">
        <v>499</v>
      </c>
      <c r="C87" s="8" t="s">
        <v>125</v>
      </c>
      <c r="D87" s="8" t="s">
        <v>101</v>
      </c>
      <c r="E87" s="8" t="s">
        <v>165</v>
      </c>
      <c r="F87" s="13" t="s">
        <v>175</v>
      </c>
      <c r="G87" s="8" t="s">
        <v>504</v>
      </c>
      <c r="H87" s="8" t="s">
        <v>505</v>
      </c>
      <c r="I87" s="8" t="s">
        <v>506</v>
      </c>
      <c r="J87" s="11" t="s">
        <v>162</v>
      </c>
      <c r="K87" s="11" t="s">
        <v>1</v>
      </c>
      <c r="L87" s="12" t="s">
        <v>1</v>
      </c>
      <c r="M87" s="11" t="s">
        <v>1</v>
      </c>
    </row>
    <row r="88" spans="1:13" s="2" customFormat="1" x14ac:dyDescent="0.25">
      <c r="A88" s="8" t="s">
        <v>507</v>
      </c>
      <c r="B88" s="8" t="s">
        <v>499</v>
      </c>
      <c r="C88" s="8" t="s">
        <v>107</v>
      </c>
      <c r="D88" s="8" t="s">
        <v>101</v>
      </c>
      <c r="E88" s="8" t="s">
        <v>157</v>
      </c>
      <c r="F88" s="10" t="s">
        <v>158</v>
      </c>
      <c r="G88" s="8" t="s">
        <v>508</v>
      </c>
      <c r="H88" s="8" t="s">
        <v>509</v>
      </c>
      <c r="I88" s="8" t="s">
        <v>510</v>
      </c>
      <c r="J88" s="11" t="s">
        <v>162</v>
      </c>
      <c r="K88" s="11" t="s">
        <v>1</v>
      </c>
      <c r="L88" s="12" t="s">
        <v>1</v>
      </c>
      <c r="M88" s="11" t="s">
        <v>1</v>
      </c>
    </row>
    <row r="89" spans="1:13" s="2" customFormat="1" x14ac:dyDescent="0.25">
      <c r="A89" s="8" t="s">
        <v>511</v>
      </c>
      <c r="B89" s="8" t="s">
        <v>499</v>
      </c>
      <c r="C89" s="8" t="s">
        <v>107</v>
      </c>
      <c r="D89" s="8" t="s">
        <v>101</v>
      </c>
      <c r="E89" s="8" t="s">
        <v>157</v>
      </c>
      <c r="F89" s="10" t="s">
        <v>158</v>
      </c>
      <c r="G89" s="8" t="s">
        <v>508</v>
      </c>
      <c r="H89" s="8" t="s">
        <v>512</v>
      </c>
      <c r="I89" s="8" t="s">
        <v>513</v>
      </c>
      <c r="J89" s="11" t="s">
        <v>162</v>
      </c>
      <c r="K89" s="11" t="s">
        <v>1</v>
      </c>
      <c r="L89" s="12" t="s">
        <v>1</v>
      </c>
      <c r="M89" s="11" t="s">
        <v>1</v>
      </c>
    </row>
    <row r="90" spans="1:13" s="2" customFormat="1" x14ac:dyDescent="0.25">
      <c r="A90" s="8" t="s">
        <v>514</v>
      </c>
      <c r="B90" s="8" t="s">
        <v>499</v>
      </c>
      <c r="C90" s="8" t="s">
        <v>137</v>
      </c>
      <c r="D90" s="8" t="s">
        <v>101</v>
      </c>
      <c r="E90" s="8" t="s">
        <v>157</v>
      </c>
      <c r="F90" s="13" t="s">
        <v>175</v>
      </c>
      <c r="G90" s="8" t="s">
        <v>515</v>
      </c>
      <c r="H90" s="8" t="s">
        <v>516</v>
      </c>
      <c r="I90" s="8" t="s">
        <v>517</v>
      </c>
      <c r="J90" s="11" t="s">
        <v>162</v>
      </c>
      <c r="K90" s="11" t="s">
        <v>1</v>
      </c>
      <c r="L90" s="12" t="s">
        <v>1</v>
      </c>
      <c r="M90" s="11" t="s">
        <v>1</v>
      </c>
    </row>
    <row r="91" spans="1:13" s="2" customFormat="1" x14ac:dyDescent="0.25">
      <c r="A91" s="8" t="s">
        <v>518</v>
      </c>
      <c r="B91" s="8" t="s">
        <v>499</v>
      </c>
      <c r="C91" s="8" t="s">
        <v>125</v>
      </c>
      <c r="D91" s="8" t="s">
        <v>101</v>
      </c>
      <c r="E91" s="8" t="s">
        <v>157</v>
      </c>
      <c r="F91" s="13" t="s">
        <v>190</v>
      </c>
      <c r="G91" s="8" t="s">
        <v>519</v>
      </c>
      <c r="H91" s="8" t="s">
        <v>520</v>
      </c>
      <c r="I91" s="8" t="s">
        <v>521</v>
      </c>
      <c r="J91" s="11" t="s">
        <v>162</v>
      </c>
      <c r="K91" s="11" t="s">
        <v>1</v>
      </c>
      <c r="L91" s="12" t="s">
        <v>1</v>
      </c>
      <c r="M91" s="11" t="s">
        <v>1</v>
      </c>
    </row>
    <row r="92" spans="1:13" s="2" customFormat="1" x14ac:dyDescent="0.25">
      <c r="A92" s="8" t="s">
        <v>522</v>
      </c>
      <c r="B92" s="8" t="s">
        <v>499</v>
      </c>
      <c r="C92" s="8" t="s">
        <v>107</v>
      </c>
      <c r="D92" s="8" t="s">
        <v>101</v>
      </c>
      <c r="E92" s="8" t="s">
        <v>157</v>
      </c>
      <c r="F92" s="13" t="s">
        <v>190</v>
      </c>
      <c r="G92" s="8" t="s">
        <v>523</v>
      </c>
      <c r="H92" s="8" t="s">
        <v>524</v>
      </c>
      <c r="I92" s="8" t="s">
        <v>525</v>
      </c>
      <c r="J92" s="11" t="s">
        <v>162</v>
      </c>
      <c r="K92" s="11" t="s">
        <v>1</v>
      </c>
      <c r="L92" s="12" t="s">
        <v>1</v>
      </c>
      <c r="M92" s="11" t="s">
        <v>1</v>
      </c>
    </row>
    <row r="93" spans="1:13" s="2" customFormat="1" x14ac:dyDescent="0.25">
      <c r="A93" s="8" t="s">
        <v>526</v>
      </c>
      <c r="B93" s="8" t="s">
        <v>29</v>
      </c>
      <c r="C93" s="8" t="s">
        <v>99</v>
      </c>
      <c r="D93" s="8" t="s">
        <v>101</v>
      </c>
      <c r="E93" s="8" t="s">
        <v>157</v>
      </c>
      <c r="F93" s="10" t="s">
        <v>158</v>
      </c>
      <c r="G93" s="8" t="s">
        <v>237</v>
      </c>
      <c r="H93" s="8" t="s">
        <v>527</v>
      </c>
      <c r="I93" s="8" t="s">
        <v>528</v>
      </c>
      <c r="J93" s="11" t="s">
        <v>162</v>
      </c>
      <c r="K93" s="11" t="s">
        <v>1</v>
      </c>
      <c r="L93" s="12" t="s">
        <v>1</v>
      </c>
      <c r="M93" s="11" t="s">
        <v>1</v>
      </c>
    </row>
    <row r="94" spans="1:13" s="2" customFormat="1" x14ac:dyDescent="0.25">
      <c r="A94" s="8" t="s">
        <v>529</v>
      </c>
      <c r="B94" s="8" t="s">
        <v>29</v>
      </c>
      <c r="C94" s="8" t="s">
        <v>99</v>
      </c>
      <c r="D94" s="8" t="s">
        <v>101</v>
      </c>
      <c r="E94" s="8" t="s">
        <v>157</v>
      </c>
      <c r="F94" s="10" t="s">
        <v>158</v>
      </c>
      <c r="G94" s="8" t="s">
        <v>530</v>
      </c>
      <c r="H94" s="8" t="s">
        <v>531</v>
      </c>
      <c r="I94" s="8" t="s">
        <v>532</v>
      </c>
      <c r="J94" s="11" t="s">
        <v>162</v>
      </c>
      <c r="K94" s="11" t="s">
        <v>1</v>
      </c>
      <c r="L94" s="12" t="s">
        <v>1</v>
      </c>
      <c r="M94" s="11" t="s">
        <v>1</v>
      </c>
    </row>
    <row r="95" spans="1:13" s="2" customFormat="1" x14ac:dyDescent="0.25">
      <c r="A95" s="8" t="s">
        <v>533</v>
      </c>
      <c r="B95" s="8" t="s">
        <v>29</v>
      </c>
      <c r="C95" s="8" t="s">
        <v>99</v>
      </c>
      <c r="D95" s="8" t="s">
        <v>101</v>
      </c>
      <c r="E95" s="8" t="s">
        <v>157</v>
      </c>
      <c r="F95" s="13" t="s">
        <v>175</v>
      </c>
      <c r="G95" s="8" t="s">
        <v>534</v>
      </c>
      <c r="H95" s="8" t="s">
        <v>535</v>
      </c>
      <c r="I95" s="8" t="s">
        <v>536</v>
      </c>
      <c r="J95" s="11" t="s">
        <v>162</v>
      </c>
      <c r="K95" s="11" t="s">
        <v>1</v>
      </c>
      <c r="L95" s="12" t="s">
        <v>1</v>
      </c>
      <c r="M95" s="11" t="s">
        <v>1</v>
      </c>
    </row>
    <row r="96" spans="1:13" s="2" customFormat="1" x14ac:dyDescent="0.25">
      <c r="A96" s="8" t="s">
        <v>537</v>
      </c>
      <c r="B96" s="8" t="s">
        <v>29</v>
      </c>
      <c r="C96" s="8" t="s">
        <v>99</v>
      </c>
      <c r="D96" s="8" t="s">
        <v>101</v>
      </c>
      <c r="E96" s="8" t="s">
        <v>165</v>
      </c>
      <c r="F96" s="10" t="s">
        <v>158</v>
      </c>
      <c r="G96" s="8" t="s">
        <v>538</v>
      </c>
      <c r="H96" s="8" t="s">
        <v>539</v>
      </c>
      <c r="I96" s="8" t="s">
        <v>540</v>
      </c>
      <c r="J96" s="11" t="s">
        <v>162</v>
      </c>
      <c r="K96" s="11" t="s">
        <v>1</v>
      </c>
      <c r="L96" s="12" t="s">
        <v>1</v>
      </c>
      <c r="M96" s="11" t="s">
        <v>1</v>
      </c>
    </row>
    <row r="97" spans="1:13" s="2" customFormat="1" x14ac:dyDescent="0.25">
      <c r="A97" s="8" t="s">
        <v>541</v>
      </c>
      <c r="B97" s="8" t="s">
        <v>29</v>
      </c>
      <c r="C97" s="8" t="s">
        <v>99</v>
      </c>
      <c r="D97" s="8" t="s">
        <v>101</v>
      </c>
      <c r="E97" s="8" t="s">
        <v>157</v>
      </c>
      <c r="F97" s="10" t="s">
        <v>158</v>
      </c>
      <c r="G97" s="8" t="s">
        <v>542</v>
      </c>
      <c r="H97" s="8" t="s">
        <v>543</v>
      </c>
      <c r="I97" s="8" t="s">
        <v>544</v>
      </c>
      <c r="J97" s="11" t="s">
        <v>162</v>
      </c>
      <c r="K97" s="11" t="s">
        <v>1</v>
      </c>
      <c r="L97" s="12" t="s">
        <v>1</v>
      </c>
      <c r="M97" s="11" t="s">
        <v>1</v>
      </c>
    </row>
    <row r="98" spans="1:13" s="2" customFormat="1" x14ac:dyDescent="0.25">
      <c r="A98" s="8" t="s">
        <v>545</v>
      </c>
      <c r="B98" s="8" t="s">
        <v>29</v>
      </c>
      <c r="C98" s="8" t="s">
        <v>99</v>
      </c>
      <c r="D98" s="8" t="s">
        <v>101</v>
      </c>
      <c r="E98" s="8" t="s">
        <v>157</v>
      </c>
      <c r="F98" s="13" t="s">
        <v>190</v>
      </c>
      <c r="G98" s="8" t="s">
        <v>546</v>
      </c>
      <c r="H98" s="8" t="s">
        <v>547</v>
      </c>
      <c r="I98" s="8" t="s">
        <v>548</v>
      </c>
      <c r="J98" s="11" t="s">
        <v>162</v>
      </c>
      <c r="K98" s="11" t="s">
        <v>1</v>
      </c>
      <c r="L98" s="12" t="s">
        <v>1</v>
      </c>
      <c r="M98" s="11" t="s">
        <v>1</v>
      </c>
    </row>
    <row r="99" spans="1:13" s="2" customFormat="1" x14ac:dyDescent="0.25">
      <c r="A99" s="8" t="s">
        <v>549</v>
      </c>
      <c r="B99" s="8" t="s">
        <v>29</v>
      </c>
      <c r="C99" s="8" t="s">
        <v>107</v>
      </c>
      <c r="D99" s="8" t="s">
        <v>101</v>
      </c>
      <c r="E99" s="8" t="s">
        <v>157</v>
      </c>
      <c r="F99" s="13" t="s">
        <v>175</v>
      </c>
      <c r="G99" s="8" t="s">
        <v>454</v>
      </c>
      <c r="H99" s="8" t="s">
        <v>550</v>
      </c>
      <c r="I99" s="8" t="s">
        <v>551</v>
      </c>
      <c r="J99" s="11" t="s">
        <v>162</v>
      </c>
      <c r="K99" s="11" t="s">
        <v>1</v>
      </c>
      <c r="L99" s="12" t="s">
        <v>1</v>
      </c>
      <c r="M99" s="11" t="s">
        <v>1</v>
      </c>
    </row>
    <row r="100" spans="1:13" s="2" customFormat="1" x14ac:dyDescent="0.25">
      <c r="A100" s="8" t="s">
        <v>552</v>
      </c>
      <c r="B100" s="8" t="s">
        <v>29</v>
      </c>
      <c r="C100" s="8" t="s">
        <v>107</v>
      </c>
      <c r="D100" s="8" t="s">
        <v>101</v>
      </c>
      <c r="E100" s="8" t="s">
        <v>216</v>
      </c>
      <c r="F100" s="13" t="s">
        <v>190</v>
      </c>
      <c r="G100" s="8" t="s">
        <v>454</v>
      </c>
      <c r="H100" s="8" t="s">
        <v>553</v>
      </c>
      <c r="I100" s="8" t="s">
        <v>554</v>
      </c>
      <c r="J100" s="11" t="s">
        <v>162</v>
      </c>
      <c r="K100" s="11" t="s">
        <v>1</v>
      </c>
      <c r="L100" s="12" t="s">
        <v>1</v>
      </c>
      <c r="M100" s="11" t="s">
        <v>1</v>
      </c>
    </row>
    <row r="101" spans="1:13" s="2" customFormat="1" x14ac:dyDescent="0.25">
      <c r="A101" s="8" t="s">
        <v>555</v>
      </c>
      <c r="B101" s="8" t="s">
        <v>29</v>
      </c>
      <c r="C101" s="8" t="s">
        <v>107</v>
      </c>
      <c r="D101" s="8" t="s">
        <v>101</v>
      </c>
      <c r="E101" s="8" t="s">
        <v>157</v>
      </c>
      <c r="F101" s="13" t="s">
        <v>190</v>
      </c>
      <c r="G101" s="8" t="s">
        <v>556</v>
      </c>
      <c r="H101" s="8" t="s">
        <v>557</v>
      </c>
      <c r="I101" s="8" t="s">
        <v>558</v>
      </c>
      <c r="J101" s="11" t="s">
        <v>162</v>
      </c>
      <c r="K101" s="11" t="s">
        <v>1</v>
      </c>
      <c r="L101" s="12" t="s">
        <v>1</v>
      </c>
      <c r="M101" s="11" t="s">
        <v>1</v>
      </c>
    </row>
    <row r="102" spans="1:13" s="2" customFormat="1" x14ac:dyDescent="0.25">
      <c r="A102" s="8" t="s">
        <v>559</v>
      </c>
      <c r="B102" s="8" t="s">
        <v>29</v>
      </c>
      <c r="C102" s="8" t="s">
        <v>99</v>
      </c>
      <c r="D102" s="8" t="s">
        <v>44</v>
      </c>
      <c r="E102" s="8" t="s">
        <v>313</v>
      </c>
      <c r="F102" s="10" t="s">
        <v>158</v>
      </c>
      <c r="G102" s="8" t="s">
        <v>250</v>
      </c>
      <c r="H102" s="8" t="s">
        <v>560</v>
      </c>
      <c r="I102" s="8" t="s">
        <v>561</v>
      </c>
      <c r="J102" s="11" t="s">
        <v>162</v>
      </c>
      <c r="K102" s="11" t="s">
        <v>1</v>
      </c>
      <c r="L102" s="12" t="s">
        <v>1</v>
      </c>
      <c r="M102" s="11" t="s">
        <v>1</v>
      </c>
    </row>
    <row r="103" spans="1:13" s="2" customFormat="1" x14ac:dyDescent="0.25">
      <c r="A103" s="8" t="s">
        <v>562</v>
      </c>
      <c r="B103" s="8" t="s">
        <v>29</v>
      </c>
      <c r="C103" s="8" t="s">
        <v>107</v>
      </c>
      <c r="D103" s="8" t="s">
        <v>101</v>
      </c>
      <c r="E103" s="8" t="s">
        <v>216</v>
      </c>
      <c r="F103" s="13" t="s">
        <v>175</v>
      </c>
      <c r="G103" s="8" t="s">
        <v>563</v>
      </c>
      <c r="H103" s="8" t="s">
        <v>564</v>
      </c>
      <c r="I103" s="8" t="s">
        <v>565</v>
      </c>
      <c r="J103" s="11" t="s">
        <v>162</v>
      </c>
      <c r="K103" s="11" t="s">
        <v>1</v>
      </c>
      <c r="L103" s="12" t="s">
        <v>1</v>
      </c>
      <c r="M103" s="11" t="s">
        <v>1</v>
      </c>
    </row>
    <row r="104" spans="1:13" s="2" customFormat="1" x14ac:dyDescent="0.25">
      <c r="A104" s="8" t="s">
        <v>566</v>
      </c>
      <c r="B104" s="8" t="s">
        <v>29</v>
      </c>
      <c r="C104" s="8" t="s">
        <v>107</v>
      </c>
      <c r="D104" s="8" t="s">
        <v>101</v>
      </c>
      <c r="E104" s="8" t="s">
        <v>165</v>
      </c>
      <c r="F104" s="10" t="s">
        <v>158</v>
      </c>
      <c r="G104" s="8" t="s">
        <v>567</v>
      </c>
      <c r="H104" s="8" t="s">
        <v>568</v>
      </c>
      <c r="I104" s="8" t="s">
        <v>569</v>
      </c>
      <c r="J104" s="11" t="s">
        <v>162</v>
      </c>
      <c r="K104" s="11" t="s">
        <v>1</v>
      </c>
      <c r="L104" s="12" t="s">
        <v>1</v>
      </c>
      <c r="M104" s="11" t="s">
        <v>1</v>
      </c>
    </row>
    <row r="105" spans="1:13" s="2" customFormat="1" x14ac:dyDescent="0.25">
      <c r="A105" s="8" t="s">
        <v>570</v>
      </c>
      <c r="B105" s="8" t="s">
        <v>571</v>
      </c>
      <c r="C105" s="8" t="s">
        <v>112</v>
      </c>
      <c r="D105" s="8" t="s">
        <v>101</v>
      </c>
      <c r="E105" s="8" t="s">
        <v>157</v>
      </c>
      <c r="F105" s="10" t="s">
        <v>158</v>
      </c>
      <c r="G105" s="8" t="s">
        <v>572</v>
      </c>
      <c r="H105" s="8" t="s">
        <v>573</v>
      </c>
      <c r="I105" s="8" t="s">
        <v>574</v>
      </c>
      <c r="J105" s="11" t="s">
        <v>162</v>
      </c>
      <c r="K105" s="11" t="s">
        <v>1</v>
      </c>
      <c r="L105" s="12" t="s">
        <v>1</v>
      </c>
      <c r="M105" s="11" t="s">
        <v>1</v>
      </c>
    </row>
    <row r="106" spans="1:13" s="2" customFormat="1" x14ac:dyDescent="0.25">
      <c r="A106" s="8" t="s">
        <v>575</v>
      </c>
      <c r="B106" s="8" t="s">
        <v>571</v>
      </c>
      <c r="C106" s="8" t="s">
        <v>112</v>
      </c>
      <c r="D106" s="8" t="s">
        <v>101</v>
      </c>
      <c r="E106" s="8" t="s">
        <v>157</v>
      </c>
      <c r="F106" s="13" t="s">
        <v>175</v>
      </c>
      <c r="G106" s="8" t="s">
        <v>576</v>
      </c>
      <c r="H106" s="8" t="s">
        <v>577</v>
      </c>
      <c r="I106" s="8" t="s">
        <v>578</v>
      </c>
      <c r="J106" s="11" t="s">
        <v>162</v>
      </c>
      <c r="K106" s="11" t="s">
        <v>1</v>
      </c>
      <c r="L106" s="12" t="s">
        <v>1</v>
      </c>
      <c r="M106" s="11" t="s">
        <v>1</v>
      </c>
    </row>
    <row r="107" spans="1:13" s="2" customFormat="1" x14ac:dyDescent="0.25">
      <c r="A107" s="8" t="s">
        <v>579</v>
      </c>
      <c r="B107" s="8" t="s">
        <v>571</v>
      </c>
      <c r="C107" s="8" t="s">
        <v>112</v>
      </c>
      <c r="D107" s="8" t="s">
        <v>101</v>
      </c>
      <c r="E107" s="8" t="s">
        <v>170</v>
      </c>
      <c r="F107" s="10" t="s">
        <v>158</v>
      </c>
      <c r="G107" s="8" t="s">
        <v>580</v>
      </c>
      <c r="H107" s="8" t="s">
        <v>581</v>
      </c>
      <c r="I107" s="8" t="s">
        <v>582</v>
      </c>
      <c r="J107" s="11" t="s">
        <v>162</v>
      </c>
      <c r="K107" s="11" t="s">
        <v>1</v>
      </c>
      <c r="L107" s="12" t="s">
        <v>1</v>
      </c>
      <c r="M107" s="11" t="s">
        <v>1</v>
      </c>
    </row>
    <row r="108" spans="1:13" s="2" customFormat="1" x14ac:dyDescent="0.25">
      <c r="A108" s="8" t="s">
        <v>583</v>
      </c>
      <c r="B108" s="8" t="s">
        <v>571</v>
      </c>
      <c r="C108" s="8" t="s">
        <v>112</v>
      </c>
      <c r="D108" s="8" t="s">
        <v>64</v>
      </c>
      <c r="E108" s="8" t="s">
        <v>157</v>
      </c>
      <c r="F108" s="10" t="s">
        <v>158</v>
      </c>
      <c r="G108" s="8" t="s">
        <v>584</v>
      </c>
      <c r="H108" s="8" t="s">
        <v>585</v>
      </c>
      <c r="I108" s="8" t="s">
        <v>586</v>
      </c>
      <c r="J108" s="11" t="s">
        <v>162</v>
      </c>
      <c r="K108" s="11" t="s">
        <v>1</v>
      </c>
      <c r="L108" s="12" t="s">
        <v>1</v>
      </c>
      <c r="M108" s="11" t="s">
        <v>1</v>
      </c>
    </row>
    <row r="109" spans="1:13" s="2" customFormat="1" x14ac:dyDescent="0.25">
      <c r="A109" s="8" t="s">
        <v>587</v>
      </c>
      <c r="B109" s="8" t="s">
        <v>119</v>
      </c>
      <c r="C109" s="8" t="s">
        <v>118</v>
      </c>
      <c r="D109" s="8" t="s">
        <v>44</v>
      </c>
      <c r="E109" s="8" t="s">
        <v>157</v>
      </c>
      <c r="F109" s="13" t="s">
        <v>175</v>
      </c>
      <c r="G109" s="8" t="s">
        <v>121</v>
      </c>
      <c r="H109" s="8" t="s">
        <v>588</v>
      </c>
      <c r="I109" s="8" t="s">
        <v>589</v>
      </c>
      <c r="J109" s="11" t="s">
        <v>162</v>
      </c>
      <c r="K109" s="11" t="s">
        <v>1</v>
      </c>
      <c r="L109" s="12" t="s">
        <v>1</v>
      </c>
      <c r="M109" s="11" t="s">
        <v>1</v>
      </c>
    </row>
    <row r="110" spans="1:13" s="2" customFormat="1" x14ac:dyDescent="0.25">
      <c r="A110" s="8" t="s">
        <v>590</v>
      </c>
      <c r="B110" s="8" t="s">
        <v>119</v>
      </c>
      <c r="C110" s="8" t="s">
        <v>118</v>
      </c>
      <c r="D110" s="8" t="s">
        <v>44</v>
      </c>
      <c r="E110" s="8" t="s">
        <v>157</v>
      </c>
      <c r="F110" s="10" t="s">
        <v>158</v>
      </c>
      <c r="G110" s="8" t="s">
        <v>591</v>
      </c>
      <c r="H110" s="8" t="s">
        <v>592</v>
      </c>
      <c r="I110" s="8" t="s">
        <v>593</v>
      </c>
      <c r="J110" s="11" t="s">
        <v>162</v>
      </c>
      <c r="K110" s="11" t="s">
        <v>1</v>
      </c>
      <c r="L110" s="12" t="s">
        <v>1</v>
      </c>
      <c r="M110" s="11" t="s">
        <v>1</v>
      </c>
    </row>
    <row r="111" spans="1:13" s="2" customFormat="1" x14ac:dyDescent="0.25">
      <c r="A111" s="8" t="s">
        <v>594</v>
      </c>
      <c r="B111" s="8" t="s">
        <v>119</v>
      </c>
      <c r="C111" s="8" t="s">
        <v>118</v>
      </c>
      <c r="D111" s="8" t="s">
        <v>44</v>
      </c>
      <c r="E111" s="8" t="s">
        <v>157</v>
      </c>
      <c r="F111" s="13" t="s">
        <v>175</v>
      </c>
      <c r="G111" s="8" t="s">
        <v>595</v>
      </c>
      <c r="H111" s="8" t="s">
        <v>596</v>
      </c>
      <c r="I111" s="8" t="s">
        <v>597</v>
      </c>
      <c r="J111" s="11" t="s">
        <v>162</v>
      </c>
      <c r="K111" s="11" t="s">
        <v>1</v>
      </c>
      <c r="L111" s="12" t="s">
        <v>1</v>
      </c>
      <c r="M111" s="11" t="s">
        <v>1</v>
      </c>
    </row>
    <row r="112" spans="1:13" s="2" customFormat="1" x14ac:dyDescent="0.25">
      <c r="A112" s="8" t="s">
        <v>598</v>
      </c>
      <c r="B112" s="8" t="s">
        <v>119</v>
      </c>
      <c r="C112" s="8" t="s">
        <v>118</v>
      </c>
      <c r="D112" s="8" t="s">
        <v>156</v>
      </c>
      <c r="E112" s="8" t="s">
        <v>157</v>
      </c>
      <c r="F112" s="13" t="s">
        <v>175</v>
      </c>
      <c r="G112" s="8" t="s">
        <v>220</v>
      </c>
      <c r="H112" s="8" t="s">
        <v>599</v>
      </c>
      <c r="I112" s="8" t="s">
        <v>600</v>
      </c>
      <c r="J112" s="11" t="s">
        <v>162</v>
      </c>
      <c r="K112" s="11" t="s">
        <v>1</v>
      </c>
      <c r="L112" s="12" t="s">
        <v>1</v>
      </c>
      <c r="M112" s="11" t="s">
        <v>1</v>
      </c>
    </row>
    <row r="113" spans="1:13" s="2" customFormat="1" x14ac:dyDescent="0.25">
      <c r="A113" s="8" t="s">
        <v>601</v>
      </c>
      <c r="B113" s="8" t="s">
        <v>119</v>
      </c>
      <c r="C113" s="8" t="s">
        <v>118</v>
      </c>
      <c r="D113" s="8" t="s">
        <v>156</v>
      </c>
      <c r="E113" s="8" t="s">
        <v>157</v>
      </c>
      <c r="F113" s="13" t="s">
        <v>190</v>
      </c>
      <c r="G113" s="8" t="s">
        <v>602</v>
      </c>
      <c r="H113" s="8" t="s">
        <v>603</v>
      </c>
      <c r="I113" s="8" t="s">
        <v>604</v>
      </c>
      <c r="J113" s="11" t="s">
        <v>162</v>
      </c>
      <c r="K113" s="11" t="s">
        <v>1</v>
      </c>
      <c r="L113" s="12" t="s">
        <v>1</v>
      </c>
      <c r="M113" s="11" t="s">
        <v>1</v>
      </c>
    </row>
    <row r="114" spans="1:13" s="2" customFormat="1" x14ac:dyDescent="0.25">
      <c r="A114" s="8" t="s">
        <v>605</v>
      </c>
      <c r="B114" s="8" t="s">
        <v>119</v>
      </c>
      <c r="C114" s="8" t="s">
        <v>118</v>
      </c>
      <c r="D114" s="8" t="s">
        <v>156</v>
      </c>
      <c r="E114" s="8" t="s">
        <v>197</v>
      </c>
      <c r="F114" s="13" t="s">
        <v>190</v>
      </c>
      <c r="G114" s="8" t="s">
        <v>606</v>
      </c>
      <c r="H114" s="8" t="s">
        <v>607</v>
      </c>
      <c r="I114" s="8" t="s">
        <v>608</v>
      </c>
      <c r="J114" s="11" t="s">
        <v>162</v>
      </c>
      <c r="K114" s="11" t="s">
        <v>1</v>
      </c>
      <c r="L114" s="12" t="s">
        <v>1</v>
      </c>
      <c r="M114" s="11" t="s">
        <v>1</v>
      </c>
    </row>
    <row r="115" spans="1:13" s="2" customFormat="1" x14ac:dyDescent="0.25">
      <c r="A115" s="8" t="s">
        <v>609</v>
      </c>
      <c r="B115" s="8" t="s">
        <v>119</v>
      </c>
      <c r="C115" s="8" t="s">
        <v>118</v>
      </c>
      <c r="D115" s="8" t="s">
        <v>156</v>
      </c>
      <c r="E115" s="8" t="s">
        <v>157</v>
      </c>
      <c r="F115" s="13" t="s">
        <v>190</v>
      </c>
      <c r="G115" s="8" t="s">
        <v>610</v>
      </c>
      <c r="H115" s="8" t="s">
        <v>611</v>
      </c>
      <c r="I115" s="8" t="s">
        <v>612</v>
      </c>
      <c r="J115" s="11" t="s">
        <v>162</v>
      </c>
      <c r="K115" s="11" t="s">
        <v>1</v>
      </c>
      <c r="L115" s="12" t="s">
        <v>1</v>
      </c>
      <c r="M115" s="11" t="s">
        <v>1</v>
      </c>
    </row>
    <row r="116" spans="1:13" s="2" customFormat="1" x14ac:dyDescent="0.25">
      <c r="A116" s="8" t="s">
        <v>613</v>
      </c>
      <c r="B116" s="8" t="s">
        <v>133</v>
      </c>
      <c r="C116" s="8" t="s">
        <v>132</v>
      </c>
      <c r="D116" s="8" t="s">
        <v>156</v>
      </c>
      <c r="E116" s="8" t="s">
        <v>157</v>
      </c>
      <c r="F116" s="13" t="s">
        <v>190</v>
      </c>
      <c r="G116" s="8" t="s">
        <v>614</v>
      </c>
      <c r="H116" s="8" t="s">
        <v>615</v>
      </c>
      <c r="I116" s="8" t="s">
        <v>616</v>
      </c>
      <c r="J116" s="11" t="s">
        <v>162</v>
      </c>
      <c r="K116" s="11" t="s">
        <v>1</v>
      </c>
      <c r="L116" s="12" t="s">
        <v>1</v>
      </c>
      <c r="M116" s="11" t="s">
        <v>1</v>
      </c>
    </row>
    <row r="117" spans="1:13" s="2" customFormat="1" x14ac:dyDescent="0.25">
      <c r="A117" s="8" t="s">
        <v>617</v>
      </c>
      <c r="B117" s="8" t="s">
        <v>618</v>
      </c>
      <c r="C117" s="8" t="s">
        <v>107</v>
      </c>
      <c r="D117" s="8" t="s">
        <v>101</v>
      </c>
      <c r="E117" s="8" t="s">
        <v>157</v>
      </c>
      <c r="F117" s="13" t="s">
        <v>175</v>
      </c>
      <c r="G117" s="8" t="s">
        <v>619</v>
      </c>
      <c r="H117" s="8" t="s">
        <v>620</v>
      </c>
      <c r="I117" s="8" t="s">
        <v>621</v>
      </c>
      <c r="J117" s="11" t="s">
        <v>162</v>
      </c>
      <c r="K117" s="11" t="s">
        <v>1</v>
      </c>
      <c r="L117" s="12" t="s">
        <v>1</v>
      </c>
      <c r="M117" s="11" t="s">
        <v>1</v>
      </c>
    </row>
    <row r="118" spans="1:13" s="2" customFormat="1" x14ac:dyDescent="0.25">
      <c r="A118" s="8" t="s">
        <v>622</v>
      </c>
      <c r="B118" s="8" t="s">
        <v>618</v>
      </c>
      <c r="C118" s="8" t="s">
        <v>107</v>
      </c>
      <c r="D118" s="8" t="s">
        <v>101</v>
      </c>
      <c r="E118" s="8" t="s">
        <v>313</v>
      </c>
      <c r="F118" s="13" t="s">
        <v>175</v>
      </c>
      <c r="G118" s="8" t="s">
        <v>623</v>
      </c>
      <c r="H118" s="8" t="s">
        <v>624</v>
      </c>
      <c r="I118" s="8" t="s">
        <v>625</v>
      </c>
      <c r="J118" s="11" t="s">
        <v>162</v>
      </c>
      <c r="K118" s="11" t="s">
        <v>1</v>
      </c>
      <c r="L118" s="12" t="s">
        <v>1</v>
      </c>
      <c r="M118" s="11" t="s">
        <v>1</v>
      </c>
    </row>
    <row r="119" spans="1:13" s="2" customFormat="1" x14ac:dyDescent="0.25">
      <c r="A119" s="8" t="s">
        <v>626</v>
      </c>
      <c r="B119" s="8" t="s">
        <v>627</v>
      </c>
      <c r="C119" s="8" t="s">
        <v>42</v>
      </c>
      <c r="D119" s="8" t="s">
        <v>44</v>
      </c>
      <c r="E119" s="8" t="s">
        <v>197</v>
      </c>
      <c r="F119" s="10" t="s">
        <v>158</v>
      </c>
      <c r="G119" s="8" t="s">
        <v>628</v>
      </c>
      <c r="H119" s="8" t="s">
        <v>629</v>
      </c>
      <c r="I119" s="8" t="s">
        <v>630</v>
      </c>
      <c r="J119" s="11" t="s">
        <v>162</v>
      </c>
      <c r="K119" s="11" t="s">
        <v>1</v>
      </c>
      <c r="L119" s="12" t="s">
        <v>1</v>
      </c>
      <c r="M119" s="11" t="s">
        <v>1</v>
      </c>
    </row>
    <row r="120" spans="1:13" s="2" customFormat="1" x14ac:dyDescent="0.25">
      <c r="A120" s="8" t="s">
        <v>631</v>
      </c>
      <c r="B120" s="8" t="s">
        <v>632</v>
      </c>
      <c r="C120" s="8" t="s">
        <v>118</v>
      </c>
      <c r="D120" s="8" t="s">
        <v>156</v>
      </c>
      <c r="E120" s="8" t="s">
        <v>197</v>
      </c>
      <c r="F120" s="13" t="s">
        <v>175</v>
      </c>
      <c r="G120" s="8" t="s">
        <v>633</v>
      </c>
      <c r="H120" s="8" t="s">
        <v>634</v>
      </c>
      <c r="I120" s="8" t="s">
        <v>635</v>
      </c>
      <c r="J120" s="11" t="s">
        <v>162</v>
      </c>
      <c r="K120" s="11" t="s">
        <v>1</v>
      </c>
      <c r="L120" s="12" t="s">
        <v>1</v>
      </c>
      <c r="M120" s="11" t="s">
        <v>1</v>
      </c>
    </row>
    <row r="121" spans="1:13" s="2" customFormat="1" x14ac:dyDescent="0.25">
      <c r="A121" s="8" t="s">
        <v>636</v>
      </c>
      <c r="B121" s="8" t="s">
        <v>632</v>
      </c>
      <c r="C121" s="8" t="s">
        <v>118</v>
      </c>
      <c r="D121" s="8" t="s">
        <v>156</v>
      </c>
      <c r="E121" s="8" t="s">
        <v>197</v>
      </c>
      <c r="F121" s="13" t="s">
        <v>175</v>
      </c>
      <c r="G121" s="8" t="s">
        <v>491</v>
      </c>
      <c r="H121" s="8" t="s">
        <v>637</v>
      </c>
      <c r="I121" s="8" t="s">
        <v>638</v>
      </c>
      <c r="J121" s="11" t="s">
        <v>162</v>
      </c>
      <c r="K121" s="11" t="s">
        <v>1</v>
      </c>
      <c r="L121" s="12" t="s">
        <v>1</v>
      </c>
      <c r="M121" s="11" t="s">
        <v>1</v>
      </c>
    </row>
    <row r="122" spans="1:13" s="2" customFormat="1" x14ac:dyDescent="0.25">
      <c r="A122" s="8" t="s">
        <v>639</v>
      </c>
      <c r="B122" s="8" t="s">
        <v>170</v>
      </c>
      <c r="C122" s="8" t="s">
        <v>28</v>
      </c>
      <c r="D122" s="8" t="s">
        <v>156</v>
      </c>
      <c r="E122" s="8" t="s">
        <v>170</v>
      </c>
      <c r="F122" s="10" t="s">
        <v>158</v>
      </c>
      <c r="G122" s="8" t="s">
        <v>640</v>
      </c>
      <c r="H122" s="8" t="s">
        <v>641</v>
      </c>
      <c r="I122" s="8" t="s">
        <v>642</v>
      </c>
      <c r="J122" s="11" t="s">
        <v>162</v>
      </c>
      <c r="K122" s="11" t="s">
        <v>1</v>
      </c>
      <c r="L122" s="12" t="s">
        <v>1</v>
      </c>
      <c r="M122" s="11" t="s">
        <v>1</v>
      </c>
    </row>
    <row r="123" spans="1:13" s="2" customFormat="1" x14ac:dyDescent="0.25">
      <c r="A123" s="8" t="s">
        <v>643</v>
      </c>
      <c r="B123" s="8" t="s">
        <v>170</v>
      </c>
      <c r="C123" s="8" t="s">
        <v>28</v>
      </c>
      <c r="D123" s="8" t="s">
        <v>156</v>
      </c>
      <c r="E123" s="8" t="s">
        <v>170</v>
      </c>
      <c r="F123" s="10" t="s">
        <v>158</v>
      </c>
      <c r="G123" s="8" t="s">
        <v>121</v>
      </c>
      <c r="H123" s="8" t="s">
        <v>644</v>
      </c>
      <c r="I123" s="8" t="s">
        <v>645</v>
      </c>
      <c r="J123" s="11" t="s">
        <v>162</v>
      </c>
      <c r="K123" s="11" t="s">
        <v>1</v>
      </c>
      <c r="L123" s="12" t="s">
        <v>1</v>
      </c>
      <c r="M123" s="11" t="s">
        <v>1</v>
      </c>
    </row>
    <row r="124" spans="1:13" s="2" customFormat="1" x14ac:dyDescent="0.25">
      <c r="A124" s="8" t="s">
        <v>646</v>
      </c>
      <c r="B124" s="8" t="s">
        <v>170</v>
      </c>
      <c r="C124" s="8" t="s">
        <v>28</v>
      </c>
      <c r="D124" s="8" t="s">
        <v>156</v>
      </c>
      <c r="E124" s="8" t="s">
        <v>170</v>
      </c>
      <c r="F124" s="13" t="s">
        <v>175</v>
      </c>
      <c r="G124" s="8" t="s">
        <v>647</v>
      </c>
      <c r="H124" s="8" t="s">
        <v>648</v>
      </c>
      <c r="I124" s="8" t="s">
        <v>649</v>
      </c>
      <c r="J124" s="11" t="s">
        <v>162</v>
      </c>
      <c r="K124" s="11" t="s">
        <v>1</v>
      </c>
      <c r="L124" s="12" t="s">
        <v>1</v>
      </c>
      <c r="M124" s="11" t="s">
        <v>1</v>
      </c>
    </row>
    <row r="125" spans="1:13" s="2" customFormat="1" x14ac:dyDescent="0.25">
      <c r="A125" s="8" t="s">
        <v>650</v>
      </c>
      <c r="B125" s="8" t="s">
        <v>170</v>
      </c>
      <c r="C125" s="8" t="s">
        <v>28</v>
      </c>
      <c r="D125" s="8" t="s">
        <v>156</v>
      </c>
      <c r="E125" s="8" t="s">
        <v>170</v>
      </c>
      <c r="F125" s="13" t="s">
        <v>175</v>
      </c>
      <c r="G125" s="8" t="s">
        <v>651</v>
      </c>
      <c r="H125" s="8" t="s">
        <v>652</v>
      </c>
      <c r="I125" s="8" t="s">
        <v>653</v>
      </c>
      <c r="J125" s="11" t="s">
        <v>162</v>
      </c>
      <c r="K125" s="11" t="s">
        <v>1</v>
      </c>
      <c r="L125" s="12" t="s">
        <v>1</v>
      </c>
      <c r="M125" s="11" t="s">
        <v>1</v>
      </c>
    </row>
    <row r="126" spans="1:13" s="2" customFormat="1" x14ac:dyDescent="0.25">
      <c r="A126" s="8" t="s">
        <v>654</v>
      </c>
      <c r="B126" s="8" t="s">
        <v>138</v>
      </c>
      <c r="C126" s="8" t="s">
        <v>137</v>
      </c>
      <c r="D126" s="8" t="s">
        <v>101</v>
      </c>
      <c r="E126" s="8" t="s">
        <v>157</v>
      </c>
      <c r="F126" s="10" t="s">
        <v>158</v>
      </c>
      <c r="G126" s="8" t="s">
        <v>141</v>
      </c>
      <c r="H126" s="8" t="s">
        <v>655</v>
      </c>
      <c r="I126" s="8" t="s">
        <v>656</v>
      </c>
      <c r="J126" s="11" t="s">
        <v>162</v>
      </c>
      <c r="K126" s="11" t="s">
        <v>1</v>
      </c>
      <c r="L126" s="12" t="s">
        <v>1</v>
      </c>
      <c r="M126" s="11" t="s">
        <v>1</v>
      </c>
    </row>
    <row r="127" spans="1:13" s="2" customFormat="1" x14ac:dyDescent="0.25">
      <c r="A127" s="8" t="s">
        <v>657</v>
      </c>
      <c r="B127" s="8" t="s">
        <v>138</v>
      </c>
      <c r="C127" s="8" t="s">
        <v>137</v>
      </c>
      <c r="D127" s="8" t="s">
        <v>101</v>
      </c>
      <c r="E127" s="8" t="s">
        <v>157</v>
      </c>
      <c r="F127" s="10" t="s">
        <v>158</v>
      </c>
      <c r="G127" s="8" t="s">
        <v>141</v>
      </c>
      <c r="H127" s="8" t="s">
        <v>658</v>
      </c>
      <c r="I127" s="8" t="s">
        <v>659</v>
      </c>
      <c r="J127" s="11" t="s">
        <v>162</v>
      </c>
      <c r="K127" s="11" t="s">
        <v>1</v>
      </c>
      <c r="L127" s="12" t="s">
        <v>1</v>
      </c>
      <c r="M127" s="11" t="s">
        <v>1</v>
      </c>
    </row>
    <row r="128" spans="1:13" s="2" customFormat="1" x14ac:dyDescent="0.25">
      <c r="A128" s="8" t="s">
        <v>660</v>
      </c>
      <c r="B128" s="8" t="s">
        <v>138</v>
      </c>
      <c r="C128" s="8" t="s">
        <v>137</v>
      </c>
      <c r="D128" s="8" t="s">
        <v>101</v>
      </c>
      <c r="E128" s="8" t="s">
        <v>157</v>
      </c>
      <c r="F128" s="13" t="s">
        <v>175</v>
      </c>
      <c r="G128" s="8" t="s">
        <v>141</v>
      </c>
      <c r="H128" s="8" t="s">
        <v>661</v>
      </c>
      <c r="I128" s="8" t="s">
        <v>662</v>
      </c>
      <c r="J128" s="11" t="s">
        <v>162</v>
      </c>
      <c r="K128" s="11" t="s">
        <v>1</v>
      </c>
      <c r="L128" s="12" t="s">
        <v>1</v>
      </c>
      <c r="M128" s="11" t="s">
        <v>1</v>
      </c>
    </row>
    <row r="129" spans="1:13" s="2" customFormat="1" x14ac:dyDescent="0.25">
      <c r="A129" s="8" t="s">
        <v>663</v>
      </c>
      <c r="B129" s="8" t="s">
        <v>138</v>
      </c>
      <c r="C129" s="8" t="s">
        <v>137</v>
      </c>
      <c r="D129" s="8" t="s">
        <v>101</v>
      </c>
      <c r="E129" s="8" t="s">
        <v>157</v>
      </c>
      <c r="F129" s="10" t="s">
        <v>158</v>
      </c>
      <c r="G129" s="8" t="s">
        <v>664</v>
      </c>
      <c r="H129" s="8" t="s">
        <v>665</v>
      </c>
      <c r="I129" s="8" t="s">
        <v>666</v>
      </c>
      <c r="J129" s="11" t="s">
        <v>162</v>
      </c>
      <c r="K129" s="11" t="s">
        <v>1</v>
      </c>
      <c r="L129" s="12" t="s">
        <v>1</v>
      </c>
      <c r="M129" s="11" t="s">
        <v>1</v>
      </c>
    </row>
  </sheetData>
  <autoFilter ref="A1:M129"/>
  <conditionalFormatting sqref="J2:J129">
    <cfRule type="cellIs" dxfId="0" priority="1" operator="equal">
      <formula>"Pass"</formula>
    </cfRule>
    <cfRule type="cellIs" dxfId="1" priority="2" operator="equal">
      <formula>"Fail"</formula>
    </cfRule>
    <cfRule type="cellIs" dxfId="2" priority="3" operator="equal">
      <formula>"Blocked"</formula>
    </cfRule>
  </conditionalFormatting>
  <dataValidations count="2">
    <dataValidation type="list" sqref="J10:J129">
      <formula1>"Not run,Pass,Fail,Blocked"</formula1>
    </dataValidation>
    <dataValidation type="list" sqref="J2:J129">
      <formula1>"Not run,Pass,Fail,Blocked"</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workbookViewId="0" showGridLines="0"/>
  </sheetViews>
  <sheetFormatPr defaultRowHeight="15" outlineLevelRow="0" outlineLevelCol="0" x14ac:dyDescent="55"/>
  <cols>
    <col min="1" max="1" width="24" customWidth="1"/>
    <col min="2" max="6" width="10" customWidth="1"/>
    <col min="7" max="7" width="12" customWidth="1"/>
  </cols>
  <sheetData>
    <row r="1" spans="1:7" s="14" customFormat="1" x14ac:dyDescent="0.25">
      <c r="A1" s="14" t="s">
        <v>667</v>
      </c>
      <c r="B1" s="14" t="s">
        <v>1</v>
      </c>
      <c r="C1" s="14" t="s">
        <v>1</v>
      </c>
      <c r="D1" s="14" t="s">
        <v>1</v>
      </c>
      <c r="E1" s="14" t="s">
        <v>1</v>
      </c>
      <c r="F1" s="14" t="s">
        <v>1</v>
      </c>
      <c r="G1" s="14" t="s">
        <v>1</v>
      </c>
    </row>
    <row r="2" ht="26" customHeight="1" spans="1:7" s="6" customFormat="1" x14ac:dyDescent="0.25">
      <c r="A2" s="7" t="s">
        <v>21</v>
      </c>
      <c r="B2" s="7" t="s">
        <v>668</v>
      </c>
      <c r="C2" s="7" t="s">
        <v>669</v>
      </c>
      <c r="D2" s="7" t="s">
        <v>670</v>
      </c>
      <c r="E2" s="7" t="s">
        <v>671</v>
      </c>
      <c r="F2" s="7" t="s">
        <v>162</v>
      </c>
      <c r="G2" s="7" t="s">
        <v>672</v>
      </c>
    </row>
    <row r="3" spans="1:7" s="2" customFormat="1" x14ac:dyDescent="0.25">
      <c r="A3" s="8" t="s">
        <v>155</v>
      </c>
      <c r="B3" s="15">
        <f>COUNTIF('Test cases'!$B$2:$B$129,$A3)</f>
        <v>10</v>
      </c>
      <c r="C3" s="15">
        <f>COUNTIFS('Test cases'!$B$2:$B$129,$A3,'Test cases'!$J$2:$J$129,"Pass")</f>
        <v>0</v>
      </c>
      <c r="D3" s="15">
        <f>COUNTIFS('Test cases'!$B$2:$B$129,$A3,'Test cases'!$J$2:$J$129,"Fail")</f>
        <v>0</v>
      </c>
      <c r="E3" s="15">
        <f>COUNTIFS('Test cases'!$B$2:$B$129,$A3,'Test cases'!$J$2:$J$129,"Blocked")</f>
        <v>0</v>
      </c>
      <c r="F3" s="15">
        <f>COUNTIFS('Test cases'!$B$2:$B$129,$A3,'Test cases'!$J$2:$J$129,"Not run")</f>
        <v>10</v>
      </c>
      <c r="G3" s="16">
        <f>IF(B3=0,0,C3/B3)</f>
        <v>0</v>
      </c>
    </row>
    <row r="4" spans="1:7" s="2" customFormat="1" x14ac:dyDescent="0.25">
      <c r="A4" s="8" t="s">
        <v>201</v>
      </c>
      <c r="B4" s="15">
        <f>COUNTIF('Test cases'!$B$2:$B$129,$A4)</f>
        <v>7</v>
      </c>
      <c r="C4" s="15">
        <f>COUNTIFS('Test cases'!$B$2:$B$129,$A4,'Test cases'!$J$2:$J$129,"Pass")</f>
        <v>0</v>
      </c>
      <c r="D4" s="15">
        <f>COUNTIFS('Test cases'!$B$2:$B$129,$A4,'Test cases'!$J$2:$J$129,"Fail")</f>
        <v>0</v>
      </c>
      <c r="E4" s="15">
        <f>COUNTIFS('Test cases'!$B$2:$B$129,$A4,'Test cases'!$J$2:$J$129,"Blocked")</f>
        <v>0</v>
      </c>
      <c r="F4" s="15">
        <f>COUNTIFS('Test cases'!$B$2:$B$129,$A4,'Test cases'!$J$2:$J$129,"Not run")</f>
        <v>7</v>
      </c>
      <c r="G4" s="16">
        <f>IF(B4=0,0,C4/B4)</f>
        <v>0</v>
      </c>
    </row>
    <row r="5" spans="1:7" s="2" customFormat="1" x14ac:dyDescent="0.25">
      <c r="A5" s="8" t="s">
        <v>228</v>
      </c>
      <c r="B5" s="15">
        <f>COUNTIF('Test cases'!$B$2:$B$129,$A5)</f>
        <v>1</v>
      </c>
      <c r="C5" s="15">
        <f>COUNTIFS('Test cases'!$B$2:$B$129,$A5,'Test cases'!$J$2:$J$129,"Pass")</f>
        <v>0</v>
      </c>
      <c r="D5" s="15">
        <f>COUNTIFS('Test cases'!$B$2:$B$129,$A5,'Test cases'!$J$2:$J$129,"Fail")</f>
        <v>0</v>
      </c>
      <c r="E5" s="15">
        <f>COUNTIFS('Test cases'!$B$2:$B$129,$A5,'Test cases'!$J$2:$J$129,"Blocked")</f>
        <v>0</v>
      </c>
      <c r="F5" s="15">
        <f>COUNTIFS('Test cases'!$B$2:$B$129,$A5,'Test cases'!$J$2:$J$129,"Not run")</f>
        <v>1</v>
      </c>
      <c r="G5" s="16">
        <f>IF(B5=0,0,C5/B5)</f>
        <v>0</v>
      </c>
    </row>
    <row r="6" spans="1:7" s="2" customFormat="1" x14ac:dyDescent="0.25">
      <c r="A6" s="8" t="s">
        <v>233</v>
      </c>
      <c r="B6" s="15">
        <f>COUNTIF('Test cases'!$B$2:$B$129,$A6)</f>
        <v>4</v>
      </c>
      <c r="C6" s="15">
        <f>COUNTIFS('Test cases'!$B$2:$B$129,$A6,'Test cases'!$J$2:$J$129,"Pass")</f>
        <v>0</v>
      </c>
      <c r="D6" s="15">
        <f>COUNTIFS('Test cases'!$B$2:$B$129,$A6,'Test cases'!$J$2:$J$129,"Fail")</f>
        <v>0</v>
      </c>
      <c r="E6" s="15">
        <f>COUNTIFS('Test cases'!$B$2:$B$129,$A6,'Test cases'!$J$2:$J$129,"Blocked")</f>
        <v>0</v>
      </c>
      <c r="F6" s="15">
        <f>COUNTIFS('Test cases'!$B$2:$B$129,$A6,'Test cases'!$J$2:$J$129,"Not run")</f>
        <v>4</v>
      </c>
      <c r="G6" s="16">
        <f>IF(B6=0,0,C6/B6)</f>
        <v>0</v>
      </c>
    </row>
    <row r="7" spans="1:7" s="2" customFormat="1" x14ac:dyDescent="0.25">
      <c r="A7" s="8" t="s">
        <v>249</v>
      </c>
      <c r="B7" s="15">
        <f>COUNTIF('Test cases'!$B$2:$B$129,$A7)</f>
        <v>7</v>
      </c>
      <c r="C7" s="15">
        <f>COUNTIFS('Test cases'!$B$2:$B$129,$A7,'Test cases'!$J$2:$J$129,"Pass")</f>
        <v>0</v>
      </c>
      <c r="D7" s="15">
        <f>COUNTIFS('Test cases'!$B$2:$B$129,$A7,'Test cases'!$J$2:$J$129,"Fail")</f>
        <v>0</v>
      </c>
      <c r="E7" s="15">
        <f>COUNTIFS('Test cases'!$B$2:$B$129,$A7,'Test cases'!$J$2:$J$129,"Blocked")</f>
        <v>0</v>
      </c>
      <c r="F7" s="15">
        <f>COUNTIFS('Test cases'!$B$2:$B$129,$A7,'Test cases'!$J$2:$J$129,"Not run")</f>
        <v>7</v>
      </c>
      <c r="G7" s="16">
        <f>IF(B7=0,0,C7/B7)</f>
        <v>0</v>
      </c>
    </row>
    <row r="8" spans="1:7" s="2" customFormat="1" x14ac:dyDescent="0.25">
      <c r="A8" s="8" t="s">
        <v>272</v>
      </c>
      <c r="B8" s="15">
        <f>COUNTIF('Test cases'!$B$2:$B$129,$A8)</f>
        <v>4</v>
      </c>
      <c r="C8" s="15">
        <f>COUNTIFS('Test cases'!$B$2:$B$129,$A8,'Test cases'!$J$2:$J$129,"Pass")</f>
        <v>0</v>
      </c>
      <c r="D8" s="15">
        <f>COUNTIFS('Test cases'!$B$2:$B$129,$A8,'Test cases'!$J$2:$J$129,"Fail")</f>
        <v>0</v>
      </c>
      <c r="E8" s="15">
        <f>COUNTIFS('Test cases'!$B$2:$B$129,$A8,'Test cases'!$J$2:$J$129,"Blocked")</f>
        <v>0</v>
      </c>
      <c r="F8" s="15">
        <f>COUNTIFS('Test cases'!$B$2:$B$129,$A8,'Test cases'!$J$2:$J$129,"Not run")</f>
        <v>4</v>
      </c>
      <c r="G8" s="16">
        <f>IF(B8=0,0,C8/B8)</f>
        <v>0</v>
      </c>
    </row>
    <row r="9" spans="1:7" s="2" customFormat="1" x14ac:dyDescent="0.25">
      <c r="A9" s="8" t="s">
        <v>288</v>
      </c>
      <c r="B9" s="15">
        <f>COUNTIF('Test cases'!$B$2:$B$129,$A9)</f>
        <v>4</v>
      </c>
      <c r="C9" s="15">
        <f>COUNTIFS('Test cases'!$B$2:$B$129,$A9,'Test cases'!$J$2:$J$129,"Pass")</f>
        <v>0</v>
      </c>
      <c r="D9" s="15">
        <f>COUNTIFS('Test cases'!$B$2:$B$129,$A9,'Test cases'!$J$2:$J$129,"Fail")</f>
        <v>0</v>
      </c>
      <c r="E9" s="15">
        <f>COUNTIFS('Test cases'!$B$2:$B$129,$A9,'Test cases'!$J$2:$J$129,"Blocked")</f>
        <v>0</v>
      </c>
      <c r="F9" s="15">
        <f>COUNTIFS('Test cases'!$B$2:$B$129,$A9,'Test cases'!$J$2:$J$129,"Not run")</f>
        <v>4</v>
      </c>
      <c r="G9" s="16">
        <f>IF(B9=0,0,C9/B9)</f>
        <v>0</v>
      </c>
    </row>
    <row r="10" spans="1:7" s="2" customFormat="1" x14ac:dyDescent="0.25">
      <c r="A10" s="8" t="s">
        <v>43</v>
      </c>
      <c r="B10" s="15">
        <f>COUNTIF('Test cases'!$B$2:$B$129,$A10)</f>
        <v>4</v>
      </c>
      <c r="C10" s="15">
        <f>COUNTIFS('Test cases'!$B$2:$B$129,$A10,'Test cases'!$J$2:$J$129,"Pass")</f>
        <v>0</v>
      </c>
      <c r="D10" s="15">
        <f>COUNTIFS('Test cases'!$B$2:$B$129,$A10,'Test cases'!$J$2:$J$129,"Fail")</f>
        <v>0</v>
      </c>
      <c r="E10" s="15">
        <f>COUNTIFS('Test cases'!$B$2:$B$129,$A10,'Test cases'!$J$2:$J$129,"Blocked")</f>
        <v>0</v>
      </c>
      <c r="F10" s="15">
        <f>COUNTIFS('Test cases'!$B$2:$B$129,$A10,'Test cases'!$J$2:$J$129,"Not run")</f>
        <v>4</v>
      </c>
      <c r="G10" s="16">
        <f>IF(B10=0,0,C10/B10)</f>
        <v>0</v>
      </c>
    </row>
    <row r="11" spans="1:7" s="2" customFormat="1" x14ac:dyDescent="0.25">
      <c r="A11" s="8" t="s">
        <v>326</v>
      </c>
      <c r="B11" s="15">
        <f>COUNTIF('Test cases'!$B$2:$B$129,$A11)</f>
        <v>2</v>
      </c>
      <c r="C11" s="15">
        <f>COUNTIFS('Test cases'!$B$2:$B$129,$A11,'Test cases'!$J$2:$J$129,"Pass")</f>
        <v>0</v>
      </c>
      <c r="D11" s="15">
        <f>COUNTIFS('Test cases'!$B$2:$B$129,$A11,'Test cases'!$J$2:$J$129,"Fail")</f>
        <v>0</v>
      </c>
      <c r="E11" s="15">
        <f>COUNTIFS('Test cases'!$B$2:$B$129,$A11,'Test cases'!$J$2:$J$129,"Blocked")</f>
        <v>0</v>
      </c>
      <c r="F11" s="15">
        <f>COUNTIFS('Test cases'!$B$2:$B$129,$A11,'Test cases'!$J$2:$J$129,"Not run")</f>
        <v>2</v>
      </c>
      <c r="G11" s="16">
        <f>IF(B11=0,0,C11/B11)</f>
        <v>0</v>
      </c>
    </row>
    <row r="12" spans="1:7" s="2" customFormat="1" x14ac:dyDescent="0.25">
      <c r="A12" s="8" t="s">
        <v>335</v>
      </c>
      <c r="B12" s="15">
        <f>COUNTIF('Test cases'!$B$2:$B$129,$A12)</f>
        <v>1</v>
      </c>
      <c r="C12" s="15">
        <f>COUNTIFS('Test cases'!$B$2:$B$129,$A12,'Test cases'!$J$2:$J$129,"Pass")</f>
        <v>0</v>
      </c>
      <c r="D12" s="15">
        <f>COUNTIFS('Test cases'!$B$2:$B$129,$A12,'Test cases'!$J$2:$J$129,"Fail")</f>
        <v>0</v>
      </c>
      <c r="E12" s="15">
        <f>COUNTIFS('Test cases'!$B$2:$B$129,$A12,'Test cases'!$J$2:$J$129,"Blocked")</f>
        <v>0</v>
      </c>
      <c r="F12" s="15">
        <f>COUNTIFS('Test cases'!$B$2:$B$129,$A12,'Test cases'!$J$2:$J$129,"Not run")</f>
        <v>1</v>
      </c>
      <c r="G12" s="16">
        <f>IF(B12=0,0,C12/B12)</f>
        <v>0</v>
      </c>
    </row>
    <row r="13" spans="1:7" s="2" customFormat="1" x14ac:dyDescent="0.25">
      <c r="A13" s="8" t="s">
        <v>340</v>
      </c>
      <c r="B13" s="15">
        <f>COUNTIF('Test cases'!$B$2:$B$129,$A13)</f>
        <v>5</v>
      </c>
      <c r="C13" s="15">
        <f>COUNTIFS('Test cases'!$B$2:$B$129,$A13,'Test cases'!$J$2:$J$129,"Pass")</f>
        <v>0</v>
      </c>
      <c r="D13" s="15">
        <f>COUNTIFS('Test cases'!$B$2:$B$129,$A13,'Test cases'!$J$2:$J$129,"Fail")</f>
        <v>0</v>
      </c>
      <c r="E13" s="15">
        <f>COUNTIFS('Test cases'!$B$2:$B$129,$A13,'Test cases'!$J$2:$J$129,"Blocked")</f>
        <v>0</v>
      </c>
      <c r="F13" s="15">
        <f>COUNTIFS('Test cases'!$B$2:$B$129,$A13,'Test cases'!$J$2:$J$129,"Not run")</f>
        <v>5</v>
      </c>
      <c r="G13" s="16">
        <f>IF(B13=0,0,C13/B13)</f>
        <v>0</v>
      </c>
    </row>
    <row r="14" spans="1:7" s="2" customFormat="1" x14ac:dyDescent="0.25">
      <c r="A14" s="8" t="s">
        <v>360</v>
      </c>
      <c r="B14" s="15">
        <f>COUNTIF('Test cases'!$B$2:$B$129,$A14)</f>
        <v>8</v>
      </c>
      <c r="C14" s="15">
        <f>COUNTIFS('Test cases'!$B$2:$B$129,$A14,'Test cases'!$J$2:$J$129,"Pass")</f>
        <v>0</v>
      </c>
      <c r="D14" s="15">
        <f>COUNTIFS('Test cases'!$B$2:$B$129,$A14,'Test cases'!$J$2:$J$129,"Fail")</f>
        <v>0</v>
      </c>
      <c r="E14" s="15">
        <f>COUNTIFS('Test cases'!$B$2:$B$129,$A14,'Test cases'!$J$2:$J$129,"Blocked")</f>
        <v>0</v>
      </c>
      <c r="F14" s="15">
        <f>COUNTIFS('Test cases'!$B$2:$B$129,$A14,'Test cases'!$J$2:$J$129,"Not run")</f>
        <v>8</v>
      </c>
      <c r="G14" s="16">
        <f>IF(B14=0,0,C14/B14)</f>
        <v>0</v>
      </c>
    </row>
    <row r="15" spans="1:7" s="2" customFormat="1" x14ac:dyDescent="0.25">
      <c r="A15" s="8" t="s">
        <v>393</v>
      </c>
      <c r="B15" s="15">
        <f>COUNTIF('Test cases'!$B$2:$B$129,$A15)</f>
        <v>9</v>
      </c>
      <c r="C15" s="15">
        <f>COUNTIFS('Test cases'!$B$2:$B$129,$A15,'Test cases'!$J$2:$J$129,"Pass")</f>
        <v>0</v>
      </c>
      <c r="D15" s="15">
        <f>COUNTIFS('Test cases'!$B$2:$B$129,$A15,'Test cases'!$J$2:$J$129,"Fail")</f>
        <v>0</v>
      </c>
      <c r="E15" s="15">
        <f>COUNTIFS('Test cases'!$B$2:$B$129,$A15,'Test cases'!$J$2:$J$129,"Blocked")</f>
        <v>0</v>
      </c>
      <c r="F15" s="15">
        <f>COUNTIFS('Test cases'!$B$2:$B$129,$A15,'Test cases'!$J$2:$J$129,"Not run")</f>
        <v>9</v>
      </c>
      <c r="G15" s="16">
        <f>IF(B15=0,0,C15/B15)</f>
        <v>0</v>
      </c>
    </row>
    <row r="16" spans="1:7" s="2" customFormat="1" x14ac:dyDescent="0.25">
      <c r="A16" s="8" t="s">
        <v>84</v>
      </c>
      <c r="B16" s="15">
        <f>COUNTIF('Test cases'!$B$2:$B$129,$A16)</f>
        <v>8</v>
      </c>
      <c r="C16" s="15">
        <f>COUNTIFS('Test cases'!$B$2:$B$129,$A16,'Test cases'!$J$2:$J$129,"Pass")</f>
        <v>0</v>
      </c>
      <c r="D16" s="15">
        <f>COUNTIFS('Test cases'!$B$2:$B$129,$A16,'Test cases'!$J$2:$J$129,"Fail")</f>
        <v>0</v>
      </c>
      <c r="E16" s="15">
        <f>COUNTIFS('Test cases'!$B$2:$B$129,$A16,'Test cases'!$J$2:$J$129,"Blocked")</f>
        <v>0</v>
      </c>
      <c r="F16" s="15">
        <f>COUNTIFS('Test cases'!$B$2:$B$129,$A16,'Test cases'!$J$2:$J$129,"Not run")</f>
        <v>8</v>
      </c>
      <c r="G16" s="16">
        <f>IF(B16=0,0,C16/B16)</f>
        <v>0</v>
      </c>
    </row>
    <row r="17" spans="1:7" s="2" customFormat="1" x14ac:dyDescent="0.25">
      <c r="A17" s="8" t="s">
        <v>92</v>
      </c>
      <c r="B17" s="15">
        <f>COUNTIF('Test cases'!$B$2:$B$129,$A17)</f>
        <v>6</v>
      </c>
      <c r="C17" s="15">
        <f>COUNTIFS('Test cases'!$B$2:$B$129,$A17,'Test cases'!$J$2:$J$129,"Pass")</f>
        <v>0</v>
      </c>
      <c r="D17" s="15">
        <f>COUNTIFS('Test cases'!$B$2:$B$129,$A17,'Test cases'!$J$2:$J$129,"Fail")</f>
        <v>0</v>
      </c>
      <c r="E17" s="15">
        <f>COUNTIFS('Test cases'!$B$2:$B$129,$A17,'Test cases'!$J$2:$J$129,"Blocked")</f>
        <v>0</v>
      </c>
      <c r="F17" s="15">
        <f>COUNTIFS('Test cases'!$B$2:$B$129,$A17,'Test cases'!$J$2:$J$129,"Not run")</f>
        <v>6</v>
      </c>
      <c r="G17" s="16">
        <f>IF(B17=0,0,C17/B17)</f>
        <v>0</v>
      </c>
    </row>
    <row r="18" spans="1:7" s="2" customFormat="1" x14ac:dyDescent="0.25">
      <c r="A18" s="8" t="s">
        <v>482</v>
      </c>
      <c r="B18" s="15">
        <f>COUNTIF('Test cases'!$B$2:$B$129,$A18)</f>
        <v>3</v>
      </c>
      <c r="C18" s="15">
        <f>COUNTIFS('Test cases'!$B$2:$B$129,$A18,'Test cases'!$J$2:$J$129,"Pass")</f>
        <v>0</v>
      </c>
      <c r="D18" s="15">
        <f>COUNTIFS('Test cases'!$B$2:$B$129,$A18,'Test cases'!$J$2:$J$129,"Fail")</f>
        <v>0</v>
      </c>
      <c r="E18" s="15">
        <f>COUNTIFS('Test cases'!$B$2:$B$129,$A18,'Test cases'!$J$2:$J$129,"Blocked")</f>
        <v>0</v>
      </c>
      <c r="F18" s="15">
        <f>COUNTIFS('Test cases'!$B$2:$B$129,$A18,'Test cases'!$J$2:$J$129,"Not run")</f>
        <v>3</v>
      </c>
      <c r="G18" s="16">
        <f>IF(B18=0,0,C18/B18)</f>
        <v>0</v>
      </c>
    </row>
    <row r="19" spans="1:7" s="2" customFormat="1" x14ac:dyDescent="0.25">
      <c r="A19" s="8" t="s">
        <v>126</v>
      </c>
      <c r="B19" s="15">
        <f>COUNTIF('Test cases'!$B$2:$B$129,$A19)</f>
        <v>1</v>
      </c>
      <c r="C19" s="15">
        <f>COUNTIFS('Test cases'!$B$2:$B$129,$A19,'Test cases'!$J$2:$J$129,"Pass")</f>
        <v>0</v>
      </c>
      <c r="D19" s="15">
        <f>COUNTIFS('Test cases'!$B$2:$B$129,$A19,'Test cases'!$J$2:$J$129,"Fail")</f>
        <v>0</v>
      </c>
      <c r="E19" s="15">
        <f>COUNTIFS('Test cases'!$B$2:$B$129,$A19,'Test cases'!$J$2:$J$129,"Blocked")</f>
        <v>0</v>
      </c>
      <c r="F19" s="15">
        <f>COUNTIFS('Test cases'!$B$2:$B$129,$A19,'Test cases'!$J$2:$J$129,"Not run")</f>
        <v>1</v>
      </c>
      <c r="G19" s="16">
        <f>IF(B19=0,0,C19/B19)</f>
        <v>0</v>
      </c>
    </row>
    <row r="20" spans="1:7" s="2" customFormat="1" x14ac:dyDescent="0.25">
      <c r="A20" s="8" t="s">
        <v>499</v>
      </c>
      <c r="B20" s="15">
        <f>COUNTIF('Test cases'!$B$2:$B$129,$A20)</f>
        <v>7</v>
      </c>
      <c r="C20" s="15">
        <f>COUNTIFS('Test cases'!$B$2:$B$129,$A20,'Test cases'!$J$2:$J$129,"Pass")</f>
        <v>0</v>
      </c>
      <c r="D20" s="15">
        <f>COUNTIFS('Test cases'!$B$2:$B$129,$A20,'Test cases'!$J$2:$J$129,"Fail")</f>
        <v>0</v>
      </c>
      <c r="E20" s="15">
        <f>COUNTIFS('Test cases'!$B$2:$B$129,$A20,'Test cases'!$J$2:$J$129,"Blocked")</f>
        <v>0</v>
      </c>
      <c r="F20" s="15">
        <f>COUNTIFS('Test cases'!$B$2:$B$129,$A20,'Test cases'!$J$2:$J$129,"Not run")</f>
        <v>7</v>
      </c>
      <c r="G20" s="16">
        <f>IF(B20=0,0,C20/B20)</f>
        <v>0</v>
      </c>
    </row>
    <row r="21" spans="1:7" s="2" customFormat="1" x14ac:dyDescent="0.25">
      <c r="A21" s="8" t="s">
        <v>29</v>
      </c>
      <c r="B21" s="15">
        <f>COUNTIF('Test cases'!$B$2:$B$129,$A21)</f>
        <v>12</v>
      </c>
      <c r="C21" s="15">
        <f>COUNTIFS('Test cases'!$B$2:$B$129,$A21,'Test cases'!$J$2:$J$129,"Pass")</f>
        <v>0</v>
      </c>
      <c r="D21" s="15">
        <f>COUNTIFS('Test cases'!$B$2:$B$129,$A21,'Test cases'!$J$2:$J$129,"Fail")</f>
        <v>0</v>
      </c>
      <c r="E21" s="15">
        <f>COUNTIFS('Test cases'!$B$2:$B$129,$A21,'Test cases'!$J$2:$J$129,"Blocked")</f>
        <v>0</v>
      </c>
      <c r="F21" s="15">
        <f>COUNTIFS('Test cases'!$B$2:$B$129,$A21,'Test cases'!$J$2:$J$129,"Not run")</f>
        <v>12</v>
      </c>
      <c r="G21" s="16">
        <f>IF(B21=0,0,C21/B21)</f>
        <v>0</v>
      </c>
    </row>
    <row r="22" spans="1:7" s="2" customFormat="1" x14ac:dyDescent="0.25">
      <c r="A22" s="8" t="s">
        <v>571</v>
      </c>
      <c r="B22" s="15">
        <f>COUNTIF('Test cases'!$B$2:$B$129,$A22)</f>
        <v>4</v>
      </c>
      <c r="C22" s="15">
        <f>COUNTIFS('Test cases'!$B$2:$B$129,$A22,'Test cases'!$J$2:$J$129,"Pass")</f>
        <v>0</v>
      </c>
      <c r="D22" s="15">
        <f>COUNTIFS('Test cases'!$B$2:$B$129,$A22,'Test cases'!$J$2:$J$129,"Fail")</f>
        <v>0</v>
      </c>
      <c r="E22" s="15">
        <f>COUNTIFS('Test cases'!$B$2:$B$129,$A22,'Test cases'!$J$2:$J$129,"Blocked")</f>
        <v>0</v>
      </c>
      <c r="F22" s="15">
        <f>COUNTIFS('Test cases'!$B$2:$B$129,$A22,'Test cases'!$J$2:$J$129,"Not run")</f>
        <v>4</v>
      </c>
      <c r="G22" s="16">
        <f>IF(B22=0,0,C22/B22)</f>
        <v>0</v>
      </c>
    </row>
    <row r="23" spans="1:7" s="2" customFormat="1" x14ac:dyDescent="0.25">
      <c r="A23" s="8" t="s">
        <v>119</v>
      </c>
      <c r="B23" s="15">
        <f>COUNTIF('Test cases'!$B$2:$B$129,$A23)</f>
        <v>7</v>
      </c>
      <c r="C23" s="15">
        <f>COUNTIFS('Test cases'!$B$2:$B$129,$A23,'Test cases'!$J$2:$J$129,"Pass")</f>
        <v>0</v>
      </c>
      <c r="D23" s="15">
        <f>COUNTIFS('Test cases'!$B$2:$B$129,$A23,'Test cases'!$J$2:$J$129,"Fail")</f>
        <v>0</v>
      </c>
      <c r="E23" s="15">
        <f>COUNTIFS('Test cases'!$B$2:$B$129,$A23,'Test cases'!$J$2:$J$129,"Blocked")</f>
        <v>0</v>
      </c>
      <c r="F23" s="15">
        <f>COUNTIFS('Test cases'!$B$2:$B$129,$A23,'Test cases'!$J$2:$J$129,"Not run")</f>
        <v>7</v>
      </c>
      <c r="G23" s="16">
        <f>IF(B23=0,0,C23/B23)</f>
        <v>0</v>
      </c>
    </row>
    <row r="24" spans="1:7" s="2" customFormat="1" x14ac:dyDescent="0.25">
      <c r="A24" s="8" t="s">
        <v>133</v>
      </c>
      <c r="B24" s="15">
        <f>COUNTIF('Test cases'!$B$2:$B$129,$A24)</f>
        <v>1</v>
      </c>
      <c r="C24" s="15">
        <f>COUNTIFS('Test cases'!$B$2:$B$129,$A24,'Test cases'!$J$2:$J$129,"Pass")</f>
        <v>0</v>
      </c>
      <c r="D24" s="15">
        <f>COUNTIFS('Test cases'!$B$2:$B$129,$A24,'Test cases'!$J$2:$J$129,"Fail")</f>
        <v>0</v>
      </c>
      <c r="E24" s="15">
        <f>COUNTIFS('Test cases'!$B$2:$B$129,$A24,'Test cases'!$J$2:$J$129,"Blocked")</f>
        <v>0</v>
      </c>
      <c r="F24" s="15">
        <f>COUNTIFS('Test cases'!$B$2:$B$129,$A24,'Test cases'!$J$2:$J$129,"Not run")</f>
        <v>1</v>
      </c>
      <c r="G24" s="16">
        <f>IF(B24=0,0,C24/B24)</f>
        <v>0</v>
      </c>
    </row>
    <row r="25" spans="1:7" s="2" customFormat="1" x14ac:dyDescent="0.25">
      <c r="A25" s="8" t="s">
        <v>618</v>
      </c>
      <c r="B25" s="15">
        <f>COUNTIF('Test cases'!$B$2:$B$129,$A25)</f>
        <v>2</v>
      </c>
      <c r="C25" s="15">
        <f>COUNTIFS('Test cases'!$B$2:$B$129,$A25,'Test cases'!$J$2:$J$129,"Pass")</f>
        <v>0</v>
      </c>
      <c r="D25" s="15">
        <f>COUNTIFS('Test cases'!$B$2:$B$129,$A25,'Test cases'!$J$2:$J$129,"Fail")</f>
        <v>0</v>
      </c>
      <c r="E25" s="15">
        <f>COUNTIFS('Test cases'!$B$2:$B$129,$A25,'Test cases'!$J$2:$J$129,"Blocked")</f>
        <v>0</v>
      </c>
      <c r="F25" s="15">
        <f>COUNTIFS('Test cases'!$B$2:$B$129,$A25,'Test cases'!$J$2:$J$129,"Not run")</f>
        <v>2</v>
      </c>
      <c r="G25" s="16">
        <f>IF(B25=0,0,C25/B25)</f>
        <v>0</v>
      </c>
    </row>
    <row r="26" spans="1:7" s="2" customFormat="1" x14ac:dyDescent="0.25">
      <c r="A26" s="8" t="s">
        <v>627</v>
      </c>
      <c r="B26" s="15">
        <f>COUNTIF('Test cases'!$B$2:$B$129,$A26)</f>
        <v>1</v>
      </c>
      <c r="C26" s="15">
        <f>COUNTIFS('Test cases'!$B$2:$B$129,$A26,'Test cases'!$J$2:$J$129,"Pass")</f>
        <v>0</v>
      </c>
      <c r="D26" s="15">
        <f>COUNTIFS('Test cases'!$B$2:$B$129,$A26,'Test cases'!$J$2:$J$129,"Fail")</f>
        <v>0</v>
      </c>
      <c r="E26" s="15">
        <f>COUNTIFS('Test cases'!$B$2:$B$129,$A26,'Test cases'!$J$2:$J$129,"Blocked")</f>
        <v>0</v>
      </c>
      <c r="F26" s="15">
        <f>COUNTIFS('Test cases'!$B$2:$B$129,$A26,'Test cases'!$J$2:$J$129,"Not run")</f>
        <v>1</v>
      </c>
      <c r="G26" s="16">
        <f>IF(B26=0,0,C26/B26)</f>
        <v>0</v>
      </c>
    </row>
    <row r="27" spans="1:7" s="2" customFormat="1" x14ac:dyDescent="0.25">
      <c r="A27" s="8" t="s">
        <v>632</v>
      </c>
      <c r="B27" s="15">
        <f>COUNTIF('Test cases'!$B$2:$B$129,$A27)</f>
        <v>2</v>
      </c>
      <c r="C27" s="15">
        <f>COUNTIFS('Test cases'!$B$2:$B$129,$A27,'Test cases'!$J$2:$J$129,"Pass")</f>
        <v>0</v>
      </c>
      <c r="D27" s="15">
        <f>COUNTIFS('Test cases'!$B$2:$B$129,$A27,'Test cases'!$J$2:$J$129,"Fail")</f>
        <v>0</v>
      </c>
      <c r="E27" s="15">
        <f>COUNTIFS('Test cases'!$B$2:$B$129,$A27,'Test cases'!$J$2:$J$129,"Blocked")</f>
        <v>0</v>
      </c>
      <c r="F27" s="15">
        <f>COUNTIFS('Test cases'!$B$2:$B$129,$A27,'Test cases'!$J$2:$J$129,"Not run")</f>
        <v>2</v>
      </c>
      <c r="G27" s="16">
        <f>IF(B27=0,0,C27/B27)</f>
        <v>0</v>
      </c>
    </row>
    <row r="28" spans="1:7" s="2" customFormat="1" x14ac:dyDescent="0.25">
      <c r="A28" s="8" t="s">
        <v>170</v>
      </c>
      <c r="B28" s="15">
        <f>COUNTIF('Test cases'!$B$2:$B$129,$A28)</f>
        <v>4</v>
      </c>
      <c r="C28" s="15">
        <f>COUNTIFS('Test cases'!$B$2:$B$129,$A28,'Test cases'!$J$2:$J$129,"Pass")</f>
        <v>0</v>
      </c>
      <c r="D28" s="15">
        <f>COUNTIFS('Test cases'!$B$2:$B$129,$A28,'Test cases'!$J$2:$J$129,"Fail")</f>
        <v>0</v>
      </c>
      <c r="E28" s="15">
        <f>COUNTIFS('Test cases'!$B$2:$B$129,$A28,'Test cases'!$J$2:$J$129,"Blocked")</f>
        <v>0</v>
      </c>
      <c r="F28" s="15">
        <f>COUNTIFS('Test cases'!$B$2:$B$129,$A28,'Test cases'!$J$2:$J$129,"Not run")</f>
        <v>4</v>
      </c>
      <c r="G28" s="16">
        <f>IF(B28=0,0,C28/B28)</f>
        <v>0</v>
      </c>
    </row>
    <row r="29" spans="1:7" s="2" customFormat="1" x14ac:dyDescent="0.25">
      <c r="A29" s="8" t="s">
        <v>138</v>
      </c>
      <c r="B29" s="15">
        <f>COUNTIF('Test cases'!$B$2:$B$129,$A29)</f>
        <v>4</v>
      </c>
      <c r="C29" s="15">
        <f>COUNTIFS('Test cases'!$B$2:$B$129,$A29,'Test cases'!$J$2:$J$129,"Pass")</f>
        <v>0</v>
      </c>
      <c r="D29" s="15">
        <f>COUNTIFS('Test cases'!$B$2:$B$129,$A29,'Test cases'!$J$2:$J$129,"Fail")</f>
        <v>0</v>
      </c>
      <c r="E29" s="15">
        <f>COUNTIFS('Test cases'!$B$2:$B$129,$A29,'Test cases'!$J$2:$J$129,"Blocked")</f>
        <v>0</v>
      </c>
      <c r="F29" s="15">
        <f>COUNTIFS('Test cases'!$B$2:$B$129,$A29,'Test cases'!$J$2:$J$129,"Not run")</f>
        <v>4</v>
      </c>
      <c r="G29" s="16">
        <f>IF(B29=0,0,C29/B29)</f>
        <v>0</v>
      </c>
    </row>
    <row r="30" spans="1:7" s="3" customFormat="1" x14ac:dyDescent="0.25">
      <c r="A30" s="17" t="s">
        <v>673</v>
      </c>
      <c r="B30" s="18">
        <f>SUM(B3:B29)</f>
        <v>128</v>
      </c>
      <c r="C30" s="18">
        <f>SUM(C3:C29)</f>
        <v>0</v>
      </c>
      <c r="D30" s="18">
        <f>SUM(D3:D29)</f>
        <v>0</v>
      </c>
      <c r="E30" s="18">
        <f>SUM(E3:E29)</f>
        <v>0</v>
      </c>
      <c r="F30" s="18">
        <f>SUM(F3:F29)</f>
        <v>128</v>
      </c>
      <c r="G30" s="19">
        <f>IF(B30=0,0,C30/B30)</f>
        <v>0</v>
      </c>
    </row>
    <row r="32" spans="1:7" s="14" customFormat="1" x14ac:dyDescent="0.25">
      <c r="A32" s="14" t="s">
        <v>674</v>
      </c>
      <c r="B32" s="14" t="s">
        <v>1</v>
      </c>
      <c r="C32" s="14" t="s">
        <v>1</v>
      </c>
      <c r="D32" s="14" t="s">
        <v>1</v>
      </c>
      <c r="E32" s="14" t="s">
        <v>1</v>
      </c>
      <c r="F32" s="14" t="s">
        <v>1</v>
      </c>
      <c r="G32" s="14" t="s">
        <v>1</v>
      </c>
    </row>
    <row r="33" ht="26" customHeight="1" spans="1:7" s="6" customFormat="1" x14ac:dyDescent="0.25">
      <c r="A33" s="7" t="s">
        <v>12</v>
      </c>
      <c r="B33" s="7" t="s">
        <v>668</v>
      </c>
      <c r="C33" s="7" t="s">
        <v>669</v>
      </c>
      <c r="D33" s="7" t="s">
        <v>670</v>
      </c>
      <c r="E33" s="7" t="s">
        <v>671</v>
      </c>
      <c r="F33" s="7" t="s">
        <v>162</v>
      </c>
      <c r="G33" s="7" t="s">
        <v>672</v>
      </c>
    </row>
    <row r="34" spans="1:7" s="20" customFormat="1" x14ac:dyDescent="0.25">
      <c r="A34" s="20" t="s">
        <v>158</v>
      </c>
      <c r="B34" s="21">
        <f>COUNTIF('Test cases'!$F$2:$F$129,A34)</f>
        <v>64</v>
      </c>
      <c r="C34" s="21">
        <f>COUNTIFS('Test cases'!$F$2:$F$129,$A34,'Test cases'!$J$2:$J$129,"Pass")</f>
        <v>0</v>
      </c>
      <c r="D34" s="21">
        <f>COUNTIFS('Test cases'!$F$2:$F$129,$A34,'Test cases'!$J$2:$J$129,"Fail")</f>
        <v>0</v>
      </c>
      <c r="E34" s="21">
        <f>COUNTIFS('Test cases'!$F$2:$F$129,$A34,'Test cases'!$J$2:$J$129,"Blocked")</f>
        <v>0</v>
      </c>
      <c r="F34" s="21">
        <f>COUNTIFS('Test cases'!$F$2:$F$129,$A34,'Test cases'!$J$2:$J$129,"Not run")</f>
        <v>64</v>
      </c>
      <c r="G34" s="22">
        <f>IF(B34=0,0,C34/B34)</f>
        <v>0</v>
      </c>
    </row>
    <row r="35" spans="1:7" s="20" customFormat="1" x14ac:dyDescent="0.25">
      <c r="A35" s="20" t="s">
        <v>175</v>
      </c>
      <c r="B35" s="21">
        <f>COUNTIF('Test cases'!$F$2:$F$129,A35)</f>
        <v>46</v>
      </c>
      <c r="C35" s="21">
        <f>COUNTIFS('Test cases'!$F$2:$F$129,$A35,'Test cases'!$J$2:$J$129,"Pass")</f>
        <v>0</v>
      </c>
      <c r="D35" s="21">
        <f>COUNTIFS('Test cases'!$F$2:$F$129,$A35,'Test cases'!$J$2:$J$129,"Fail")</f>
        <v>0</v>
      </c>
      <c r="E35" s="21">
        <f>COUNTIFS('Test cases'!$F$2:$F$129,$A35,'Test cases'!$J$2:$J$129,"Blocked")</f>
        <v>0</v>
      </c>
      <c r="F35" s="21">
        <f>COUNTIFS('Test cases'!$F$2:$F$129,$A35,'Test cases'!$J$2:$J$129,"Not run")</f>
        <v>46</v>
      </c>
      <c r="G35" s="22">
        <f>IF(B35=0,0,C35/B35)</f>
        <v>0</v>
      </c>
    </row>
    <row r="36" spans="1:7" s="20" customFormat="1" x14ac:dyDescent="0.25">
      <c r="A36" s="20" t="s">
        <v>190</v>
      </c>
      <c r="B36" s="21">
        <f>COUNTIF('Test cases'!$F$2:$F$129,A36)</f>
        <v>18</v>
      </c>
      <c r="C36" s="21">
        <f>COUNTIFS('Test cases'!$F$2:$F$129,$A36,'Test cases'!$J$2:$J$129,"Pass")</f>
        <v>0</v>
      </c>
      <c r="D36" s="21">
        <f>COUNTIFS('Test cases'!$F$2:$F$129,$A36,'Test cases'!$J$2:$J$129,"Fail")</f>
        <v>0</v>
      </c>
      <c r="E36" s="21">
        <f>COUNTIFS('Test cases'!$F$2:$F$129,$A36,'Test cases'!$J$2:$J$129,"Blocked")</f>
        <v>0</v>
      </c>
      <c r="F36" s="21">
        <f>COUNTIFS('Test cases'!$F$2:$F$129,$A36,'Test cases'!$J$2:$J$129,"Not run")</f>
        <v>18</v>
      </c>
      <c r="G36" s="22">
        <f>IF(B36=0,0,C36/B36)</f>
        <v>0</v>
      </c>
    </row>
    <row r="38" spans="1:1" s="23" customFormat="1" x14ac:dyDescent="0.25">
      <c r="A38" s="23" t="s">
        <v>675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36" customWidth="1"/>
    <col min="3" max="3" width="16" customWidth="1"/>
    <col min="4" max="4" width="70" customWidth="1"/>
    <col min="5" max="5" width="60" customWidth="1"/>
  </cols>
  <sheetData>
    <row r="1" ht="26" customHeight="1" spans="1:5" s="6" customFormat="1" x14ac:dyDescent="0.25">
      <c r="A1" s="7" t="s">
        <v>676</v>
      </c>
      <c r="B1" s="7" t="s">
        <v>677</v>
      </c>
      <c r="C1" s="7" t="s">
        <v>201</v>
      </c>
      <c r="D1" s="7" t="s">
        <v>678</v>
      </c>
      <c r="E1" s="7" t="s">
        <v>679</v>
      </c>
    </row>
    <row r="2" spans="1:5" s="2" customFormat="1" x14ac:dyDescent="0.25">
      <c r="A2" s="8" t="s">
        <v>44</v>
      </c>
      <c r="B2" s="8" t="s">
        <v>680</v>
      </c>
      <c r="C2" s="8" t="s">
        <v>681</v>
      </c>
      <c r="D2" s="8" t="s">
        <v>682</v>
      </c>
      <c r="E2" s="8" t="s">
        <v>683</v>
      </c>
    </row>
    <row r="3" spans="1:5" s="2" customFormat="1" x14ac:dyDescent="0.25">
      <c r="A3" s="8" t="s">
        <v>64</v>
      </c>
      <c r="B3" s="8" t="s">
        <v>684</v>
      </c>
      <c r="C3" s="8" t="s">
        <v>681</v>
      </c>
      <c r="D3" s="8" t="s">
        <v>685</v>
      </c>
      <c r="E3" s="8" t="s">
        <v>686</v>
      </c>
    </row>
    <row r="4" spans="1:5" s="2" customFormat="1" x14ac:dyDescent="0.25">
      <c r="A4" s="8" t="s">
        <v>77</v>
      </c>
      <c r="B4" s="8" t="s">
        <v>687</v>
      </c>
      <c r="C4" s="8" t="s">
        <v>681</v>
      </c>
      <c r="D4" s="8" t="s">
        <v>688</v>
      </c>
      <c r="E4" s="8" t="s">
        <v>689</v>
      </c>
    </row>
    <row r="5" spans="1:5" s="2" customFormat="1" x14ac:dyDescent="0.25">
      <c r="A5" s="8" t="s">
        <v>85</v>
      </c>
      <c r="B5" s="8" t="s">
        <v>690</v>
      </c>
      <c r="C5" s="8" t="s">
        <v>681</v>
      </c>
      <c r="D5" s="8" t="s">
        <v>691</v>
      </c>
      <c r="E5" s="8" t="s">
        <v>692</v>
      </c>
    </row>
    <row r="6" spans="1:5" s="2" customFormat="1" x14ac:dyDescent="0.25">
      <c r="A6" s="8" t="s">
        <v>101</v>
      </c>
      <c r="B6" s="8" t="s">
        <v>693</v>
      </c>
      <c r="C6" s="8" t="s">
        <v>681</v>
      </c>
      <c r="D6" s="8" t="s">
        <v>694</v>
      </c>
      <c r="E6" s="8" t="s">
        <v>695</v>
      </c>
    </row>
    <row r="8" spans="1:1" s="23" customFormat="1" x14ac:dyDescent="0.25">
      <c r="A8" s="23" t="s">
        <v>696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How to use</vt:lpstr>
      <vt:lpstr>Use cases</vt:lpstr>
      <vt:lpstr>Test cases</vt:lpstr>
      <vt:lpstr>Summary</vt:lpstr>
      <vt:lpstr>Accounts and rights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REIMSYS team</dc:creator>
  <dc:title/>
  <dc:subject/>
  <dc:description/>
  <cp:keywords/>
  <cp:category/>
  <cp:lastModifiedBy>Unknown</cp:lastModifiedBy>
  <dcterms:created xsi:type="dcterms:W3CDTF">2026-10-21T05:31:36Z</dcterms:created>
  <dcterms:modified xsi:type="dcterms:W3CDTF">2026-10-21T05:31:36Z</dcterms:modified>
</cp:coreProperties>
</file>